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8_{A6B06D6C-7676-4158-8577-001583E4EC5B}" xr6:coauthVersionLast="47" xr6:coauthVersionMax="47" xr10:uidLastSave="{00000000-0000-0000-0000-000000000000}"/>
  <bookViews>
    <workbookView xWindow="-108" yWindow="-108" windowWidth="23256" windowHeight="13896" xr2:uid="{00000000-000D-0000-FFFF-FFFF00000000}"/>
  </bookViews>
  <sheets>
    <sheet name="Dahboard" sheetId="6" r:id="rId1"/>
    <sheet name="Sheet1" sheetId="7" r:id="rId2"/>
    <sheet name="Pivot table" sheetId="5" r:id="rId3"/>
    <sheet name="AmazonSales" sheetId="1" r:id="rId4"/>
    <sheet name="ProductMaster" sheetId="2" r:id="rId5"/>
    <sheet name="RegionGoals" sheetId="3" r:id="rId6"/>
    <sheet name="CustomerMaster" sheetId="4" r:id="rId7"/>
  </sheets>
  <definedNames>
    <definedName name="Slicer_Delivery_Status">#N/A</definedName>
    <definedName name="Slicer_Order_Month1">#N/A</definedName>
    <definedName name="Slicer_Payment_Method">#N/A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Oi3DSMdMJAgU0wVTnAHqewjuYyq0O6KvV6uMw0ZD7pg="/>
    </ext>
  </extLst>
</workbook>
</file>

<file path=xl/calcChain.xml><?xml version="1.0" encoding="utf-8"?>
<calcChain xmlns="http://schemas.openxmlformats.org/spreadsheetml/2006/main">
  <c r="F76" i="1" l="1"/>
  <c r="J102" i="1"/>
  <c r="L10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F2" i="1" l="1"/>
  <c r="X2" i="1" s="1"/>
  <c r="F3" i="1"/>
  <c r="X3" i="1" s="1"/>
  <c r="F4" i="1"/>
  <c r="X4" i="1" s="1"/>
  <c r="F5" i="1"/>
  <c r="X5" i="1" s="1"/>
  <c r="F6" i="1"/>
  <c r="X6" i="1" s="1"/>
  <c r="F7" i="1"/>
  <c r="X7" i="1" s="1"/>
  <c r="F8" i="1"/>
  <c r="X8" i="1" s="1"/>
  <c r="F9" i="1"/>
  <c r="X9" i="1" s="1"/>
  <c r="F10" i="1"/>
  <c r="X10" i="1" s="1"/>
  <c r="F11" i="1"/>
  <c r="X11" i="1" s="1"/>
  <c r="F12" i="1"/>
  <c r="X12" i="1" s="1"/>
  <c r="F13" i="1"/>
  <c r="X13" i="1" s="1"/>
  <c r="F14" i="1"/>
  <c r="X14" i="1" s="1"/>
  <c r="F15" i="1"/>
  <c r="X15" i="1" s="1"/>
  <c r="F16" i="1"/>
  <c r="X16" i="1" s="1"/>
  <c r="F17" i="1"/>
  <c r="X17" i="1" s="1"/>
  <c r="F18" i="1"/>
  <c r="X18" i="1" s="1"/>
  <c r="F19" i="1"/>
  <c r="X19" i="1" s="1"/>
  <c r="F20" i="1"/>
  <c r="X20" i="1" s="1"/>
  <c r="F21" i="1"/>
  <c r="X21" i="1" s="1"/>
  <c r="F22" i="1"/>
  <c r="X22" i="1" s="1"/>
  <c r="F23" i="1"/>
  <c r="X23" i="1" s="1"/>
  <c r="F24" i="1"/>
  <c r="X24" i="1" s="1"/>
  <c r="F25" i="1"/>
  <c r="X25" i="1" s="1"/>
  <c r="F26" i="1"/>
  <c r="X26" i="1" s="1"/>
  <c r="F27" i="1"/>
  <c r="X27" i="1" s="1"/>
  <c r="F28" i="1"/>
  <c r="X28" i="1" s="1"/>
  <c r="F29" i="1"/>
  <c r="X29" i="1" s="1"/>
  <c r="F30" i="1"/>
  <c r="X30" i="1" s="1"/>
  <c r="F31" i="1"/>
  <c r="X31" i="1" s="1"/>
  <c r="F32" i="1"/>
  <c r="X32" i="1" s="1"/>
  <c r="F33" i="1"/>
  <c r="X33" i="1" s="1"/>
  <c r="F34" i="1"/>
  <c r="X34" i="1" s="1"/>
  <c r="F35" i="1"/>
  <c r="X35" i="1" s="1"/>
  <c r="F36" i="1"/>
  <c r="X36" i="1" s="1"/>
  <c r="F37" i="1"/>
  <c r="X37" i="1" s="1"/>
  <c r="F38" i="1"/>
  <c r="X38" i="1" s="1"/>
  <c r="F39" i="1"/>
  <c r="X39" i="1" s="1"/>
  <c r="F40" i="1"/>
  <c r="X40" i="1" s="1"/>
  <c r="F41" i="1"/>
  <c r="X41" i="1" s="1"/>
  <c r="F42" i="1"/>
  <c r="X42" i="1" s="1"/>
  <c r="F43" i="1"/>
  <c r="X43" i="1" s="1"/>
  <c r="F44" i="1"/>
  <c r="X44" i="1" s="1"/>
  <c r="F45" i="1"/>
  <c r="X45" i="1" s="1"/>
  <c r="F46" i="1"/>
  <c r="X46" i="1" s="1"/>
  <c r="F47" i="1"/>
  <c r="X47" i="1" s="1"/>
  <c r="F48" i="1"/>
  <c r="X48" i="1" s="1"/>
  <c r="F49" i="1"/>
  <c r="X49" i="1" s="1"/>
  <c r="F50" i="1"/>
  <c r="X50" i="1" s="1"/>
  <c r="F51" i="1"/>
  <c r="X51" i="1" s="1"/>
  <c r="F52" i="1"/>
  <c r="X52" i="1" s="1"/>
  <c r="F53" i="1"/>
  <c r="X53" i="1" s="1"/>
  <c r="F54" i="1"/>
  <c r="X54" i="1" s="1"/>
  <c r="F55" i="1"/>
  <c r="X55" i="1" s="1"/>
  <c r="F56" i="1"/>
  <c r="X56" i="1" s="1"/>
  <c r="F57" i="1"/>
  <c r="X57" i="1" s="1"/>
  <c r="F58" i="1"/>
  <c r="X58" i="1" s="1"/>
  <c r="F59" i="1"/>
  <c r="X59" i="1" s="1"/>
  <c r="F60" i="1"/>
  <c r="X60" i="1" s="1"/>
  <c r="F61" i="1"/>
  <c r="X61" i="1" s="1"/>
  <c r="F62" i="1"/>
  <c r="X62" i="1" s="1"/>
  <c r="F63" i="1"/>
  <c r="X63" i="1" s="1"/>
  <c r="F64" i="1"/>
  <c r="X64" i="1" s="1"/>
  <c r="F65" i="1"/>
  <c r="X65" i="1" s="1"/>
  <c r="F66" i="1"/>
  <c r="X66" i="1" s="1"/>
  <c r="F67" i="1"/>
  <c r="X67" i="1" s="1"/>
  <c r="F68" i="1"/>
  <c r="X68" i="1" s="1"/>
  <c r="F69" i="1"/>
  <c r="X69" i="1" s="1"/>
  <c r="F70" i="1"/>
  <c r="X70" i="1" s="1"/>
  <c r="F71" i="1"/>
  <c r="X71" i="1" s="1"/>
  <c r="F72" i="1"/>
  <c r="X72" i="1" s="1"/>
  <c r="F73" i="1"/>
  <c r="X73" i="1" s="1"/>
  <c r="F74" i="1"/>
  <c r="X74" i="1" s="1"/>
  <c r="F75" i="1"/>
  <c r="X75" i="1" s="1"/>
  <c r="X76" i="1"/>
  <c r="F77" i="1"/>
  <c r="X77" i="1" s="1"/>
  <c r="F78" i="1"/>
  <c r="X78" i="1" s="1"/>
  <c r="F79" i="1"/>
  <c r="X79" i="1" s="1"/>
  <c r="F80" i="1"/>
  <c r="X80" i="1" s="1"/>
  <c r="F81" i="1"/>
  <c r="X81" i="1" s="1"/>
  <c r="F82" i="1"/>
  <c r="X82" i="1" s="1"/>
  <c r="F83" i="1"/>
  <c r="X83" i="1" s="1"/>
  <c r="F84" i="1"/>
  <c r="X84" i="1" s="1"/>
  <c r="F85" i="1"/>
  <c r="X85" i="1" s="1"/>
  <c r="F86" i="1"/>
  <c r="X86" i="1" s="1"/>
  <c r="F87" i="1"/>
  <c r="X87" i="1" s="1"/>
  <c r="F88" i="1"/>
  <c r="X88" i="1" s="1"/>
  <c r="F89" i="1"/>
  <c r="X89" i="1" s="1"/>
  <c r="F90" i="1"/>
  <c r="X90" i="1" s="1"/>
  <c r="F91" i="1"/>
  <c r="X91" i="1" s="1"/>
  <c r="F92" i="1"/>
  <c r="X92" i="1" s="1"/>
  <c r="F93" i="1"/>
  <c r="X93" i="1" s="1"/>
  <c r="F94" i="1"/>
  <c r="X94" i="1" s="1"/>
  <c r="F95" i="1"/>
  <c r="X95" i="1" s="1"/>
  <c r="F96" i="1"/>
  <c r="X96" i="1" s="1"/>
  <c r="F97" i="1"/>
  <c r="X97" i="1" s="1"/>
  <c r="F98" i="1"/>
  <c r="X98" i="1" s="1"/>
  <c r="F99" i="1"/>
  <c r="X99" i="1" s="1"/>
  <c r="F100" i="1"/>
  <c r="X100" i="1" s="1"/>
  <c r="F101" i="1"/>
  <c r="X101" i="1"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U92" i="1" l="1"/>
  <c r="W92" i="1"/>
  <c r="U76" i="1"/>
  <c r="W76" i="1"/>
  <c r="U60" i="1"/>
  <c r="W60" i="1"/>
  <c r="U44" i="1"/>
  <c r="W44" i="1"/>
  <c r="U28" i="1"/>
  <c r="W28" i="1"/>
  <c r="U12" i="1"/>
  <c r="W12" i="1"/>
  <c r="U91" i="1"/>
  <c r="W91" i="1"/>
  <c r="U75" i="1"/>
  <c r="W75" i="1"/>
  <c r="U59" i="1"/>
  <c r="W59" i="1"/>
  <c r="U43" i="1"/>
  <c r="W43" i="1"/>
  <c r="U27" i="1"/>
  <c r="W27" i="1"/>
  <c r="U11" i="1"/>
  <c r="W11" i="1"/>
  <c r="U90" i="1"/>
  <c r="W90" i="1"/>
  <c r="U74" i="1"/>
  <c r="W74" i="1"/>
  <c r="U58" i="1"/>
  <c r="W58" i="1"/>
  <c r="U42" i="1"/>
  <c r="W42" i="1"/>
  <c r="U26" i="1"/>
  <c r="W26" i="1"/>
  <c r="U10" i="1"/>
  <c r="W10" i="1"/>
  <c r="U87" i="1"/>
  <c r="W87" i="1"/>
  <c r="U71" i="1"/>
  <c r="W71" i="1"/>
  <c r="U55" i="1"/>
  <c r="W55" i="1"/>
  <c r="U39" i="1"/>
  <c r="W39" i="1"/>
  <c r="U23" i="1"/>
  <c r="W23" i="1"/>
  <c r="U7" i="1"/>
  <c r="W7" i="1"/>
  <c r="U9" i="1"/>
  <c r="W9" i="1"/>
  <c r="U72" i="1"/>
  <c r="W72" i="1"/>
  <c r="U86" i="1"/>
  <c r="W86" i="1"/>
  <c r="U70" i="1"/>
  <c r="W70" i="1"/>
  <c r="U54" i="1"/>
  <c r="W54" i="1"/>
  <c r="U38" i="1"/>
  <c r="W38" i="1"/>
  <c r="U22" i="1"/>
  <c r="W22" i="1"/>
  <c r="U6" i="1"/>
  <c r="W6" i="1"/>
  <c r="U57" i="1"/>
  <c r="W57" i="1"/>
  <c r="U24" i="1"/>
  <c r="W24" i="1"/>
  <c r="U101" i="1"/>
  <c r="W101" i="1"/>
  <c r="U85" i="1"/>
  <c r="W85" i="1"/>
  <c r="U69" i="1"/>
  <c r="W69" i="1"/>
  <c r="U53" i="1"/>
  <c r="W53" i="1"/>
  <c r="U37" i="1"/>
  <c r="W37" i="1"/>
  <c r="U21" i="1"/>
  <c r="W21" i="1"/>
  <c r="U5" i="1"/>
  <c r="W5" i="1"/>
  <c r="U89" i="1"/>
  <c r="W89" i="1"/>
  <c r="U8" i="1"/>
  <c r="W8" i="1"/>
  <c r="U100" i="1"/>
  <c r="W100" i="1"/>
  <c r="U84" i="1"/>
  <c r="W84" i="1"/>
  <c r="U68" i="1"/>
  <c r="W68" i="1"/>
  <c r="U52" i="1"/>
  <c r="W52" i="1"/>
  <c r="U36" i="1"/>
  <c r="W36" i="1"/>
  <c r="U20" i="1"/>
  <c r="W20" i="1"/>
  <c r="U4" i="1"/>
  <c r="W4" i="1"/>
  <c r="U40" i="1"/>
  <c r="W40" i="1"/>
  <c r="U99" i="1"/>
  <c r="W99" i="1"/>
  <c r="U83" i="1"/>
  <c r="W83" i="1"/>
  <c r="U67" i="1"/>
  <c r="W67" i="1"/>
  <c r="U51" i="1"/>
  <c r="W51" i="1"/>
  <c r="U35" i="1"/>
  <c r="W35" i="1"/>
  <c r="U19" i="1"/>
  <c r="W19" i="1"/>
  <c r="U3" i="1"/>
  <c r="W3" i="1"/>
  <c r="U98" i="1"/>
  <c r="W98" i="1"/>
  <c r="U82" i="1"/>
  <c r="W82" i="1"/>
  <c r="U66" i="1"/>
  <c r="W66" i="1"/>
  <c r="U50" i="1"/>
  <c r="W50" i="1"/>
  <c r="U34" i="1"/>
  <c r="W34" i="1"/>
  <c r="U18" i="1"/>
  <c r="W18" i="1"/>
  <c r="U2" i="1"/>
  <c r="W2" i="1"/>
  <c r="U97" i="1"/>
  <c r="W97" i="1"/>
  <c r="U81" i="1"/>
  <c r="W81" i="1"/>
  <c r="U65" i="1"/>
  <c r="W65" i="1"/>
  <c r="U49" i="1"/>
  <c r="W49" i="1"/>
  <c r="U33" i="1"/>
  <c r="W33" i="1"/>
  <c r="U17" i="1"/>
  <c r="W17" i="1"/>
  <c r="U25" i="1"/>
  <c r="W25" i="1"/>
  <c r="U88" i="1"/>
  <c r="W88" i="1"/>
  <c r="U96" i="1"/>
  <c r="W96" i="1"/>
  <c r="U80" i="1"/>
  <c r="W80" i="1"/>
  <c r="U64" i="1"/>
  <c r="W64" i="1"/>
  <c r="U48" i="1"/>
  <c r="W48" i="1"/>
  <c r="U32" i="1"/>
  <c r="W32" i="1"/>
  <c r="U16" i="1"/>
  <c r="W16" i="1"/>
  <c r="U73" i="1"/>
  <c r="W73" i="1"/>
  <c r="U95" i="1"/>
  <c r="W95" i="1"/>
  <c r="U79" i="1"/>
  <c r="W79" i="1"/>
  <c r="U63" i="1"/>
  <c r="W63" i="1"/>
  <c r="U47" i="1"/>
  <c r="W47" i="1"/>
  <c r="U31" i="1"/>
  <c r="W31" i="1"/>
  <c r="U15" i="1"/>
  <c r="W15" i="1"/>
  <c r="U56" i="1"/>
  <c r="W56" i="1"/>
  <c r="U94" i="1"/>
  <c r="W94" i="1"/>
  <c r="U78" i="1"/>
  <c r="W78" i="1"/>
  <c r="U62" i="1"/>
  <c r="W62" i="1"/>
  <c r="U46" i="1"/>
  <c r="W46" i="1"/>
  <c r="U30" i="1"/>
  <c r="W30" i="1"/>
  <c r="U14" i="1"/>
  <c r="W14" i="1"/>
  <c r="U41" i="1"/>
  <c r="W41" i="1"/>
  <c r="U93" i="1"/>
  <c r="W93" i="1"/>
  <c r="U77" i="1"/>
  <c r="W77" i="1"/>
  <c r="U61" i="1"/>
  <c r="W61" i="1"/>
  <c r="U45" i="1"/>
  <c r="W45" i="1"/>
  <c r="U29" i="1"/>
  <c r="W29" i="1"/>
  <c r="U13" i="1"/>
  <c r="W13" i="1"/>
  <c r="Q42" i="1"/>
  <c r="Q82" i="1"/>
  <c r="Q60" i="1"/>
  <c r="Q64" i="1"/>
  <c r="Q78" i="1"/>
  <c r="Q41" i="1"/>
  <c r="Q45" i="1"/>
  <c r="Q72" i="1"/>
  <c r="Q30" i="1"/>
  <c r="Q43" i="1"/>
  <c r="Q87" i="1"/>
  <c r="Q89" i="1"/>
  <c r="Q90" i="1"/>
  <c r="Q91" i="1"/>
  <c r="Q31" i="1"/>
  <c r="Q53" i="1"/>
  <c r="Q7" i="1"/>
  <c r="Q66" i="1"/>
  <c r="Q67" i="1"/>
  <c r="Q71" i="1"/>
  <c r="Q101" i="1"/>
  <c r="Q19" i="1"/>
  <c r="Q54" i="1"/>
  <c r="Q10" i="1"/>
  <c r="Q22" i="1"/>
  <c r="Q93" i="1"/>
  <c r="Q95" i="1"/>
  <c r="Q32" i="1"/>
  <c r="Q37" i="1"/>
  <c r="Q85" i="1"/>
  <c r="Q24" i="1"/>
  <c r="Q34" i="1"/>
  <c r="Q75" i="1"/>
  <c r="Q57" i="1"/>
  <c r="Q97" i="1"/>
  <c r="Q28" i="1"/>
  <c r="Q29" i="1"/>
  <c r="Q55" i="1"/>
  <c r="Q9" i="1"/>
  <c r="Q11" i="1"/>
  <c r="Q61" i="1"/>
  <c r="Q2" i="1"/>
  <c r="Q4" i="1"/>
  <c r="Q59" i="1"/>
  <c r="Q84" i="1"/>
  <c r="Q63" i="1"/>
  <c r="Q73" i="1"/>
  <c r="Q14" i="1"/>
  <c r="Q23" i="1"/>
  <c r="Q77" i="1"/>
  <c r="Q98" i="1"/>
  <c r="Q40" i="1"/>
  <c r="Q21" i="1"/>
  <c r="Q35" i="1"/>
  <c r="Q58" i="1"/>
  <c r="Q50" i="1"/>
  <c r="Q6" i="1"/>
  <c r="Q27" i="1"/>
  <c r="Q25" i="1"/>
  <c r="Q39" i="1"/>
  <c r="Q74" i="1"/>
  <c r="Q3" i="1"/>
  <c r="Q92" i="1"/>
  <c r="Q36" i="1"/>
  <c r="Q81" i="1"/>
  <c r="Q15" i="1"/>
  <c r="Q16" i="1"/>
  <c r="Q100" i="1"/>
  <c r="Q62" i="1"/>
  <c r="Q94" i="1"/>
  <c r="Q33" i="1"/>
  <c r="Q56" i="1"/>
  <c r="Q47" i="1"/>
  <c r="Q26" i="1"/>
  <c r="Q44" i="1"/>
  <c r="Q51" i="1"/>
  <c r="Q20" i="1"/>
  <c r="Q48" i="1"/>
  <c r="Q52" i="1"/>
  <c r="Q8" i="1"/>
  <c r="Q46" i="1"/>
  <c r="Q76" i="1"/>
  <c r="Q88" i="1"/>
  <c r="Q96" i="1"/>
  <c r="Q5" i="1"/>
  <c r="Q38" i="1"/>
  <c r="Q49" i="1"/>
  <c r="Q70" i="1"/>
  <c r="Q99" i="1"/>
  <c r="Q13" i="1"/>
  <c r="Q18" i="1"/>
  <c r="Q69" i="1"/>
  <c r="Q86" i="1"/>
  <c r="Q12" i="1"/>
  <c r="Q83" i="1"/>
  <c r="Q17" i="1"/>
  <c r="Q65" i="1"/>
  <c r="Q79" i="1"/>
  <c r="Q80" i="1"/>
  <c r="Q68" i="1"/>
  <c r="P42" i="1"/>
  <c r="P82" i="1"/>
  <c r="P60" i="1"/>
  <c r="P64" i="1"/>
  <c r="P78" i="1"/>
  <c r="P41" i="1"/>
  <c r="P45" i="1"/>
  <c r="P72" i="1"/>
  <c r="P30" i="1"/>
  <c r="P43" i="1"/>
  <c r="P87" i="1"/>
  <c r="P89" i="1"/>
  <c r="P90" i="1"/>
  <c r="P91" i="1"/>
  <c r="P31" i="1"/>
  <c r="P53" i="1"/>
  <c r="P7" i="1"/>
  <c r="P66" i="1"/>
  <c r="P67" i="1"/>
  <c r="P71" i="1"/>
  <c r="P101" i="1"/>
  <c r="P19" i="1"/>
  <c r="P54" i="1"/>
  <c r="P10" i="1"/>
  <c r="P22" i="1"/>
  <c r="P93" i="1"/>
  <c r="P95" i="1"/>
  <c r="P32" i="1"/>
  <c r="P37" i="1"/>
  <c r="P85" i="1"/>
  <c r="P24" i="1"/>
  <c r="P34" i="1"/>
  <c r="P75" i="1"/>
  <c r="P57" i="1"/>
  <c r="P97" i="1"/>
  <c r="P28" i="1"/>
  <c r="P29" i="1"/>
  <c r="P55" i="1"/>
  <c r="P9" i="1"/>
  <c r="P11" i="1"/>
  <c r="P61" i="1"/>
  <c r="P2" i="1"/>
  <c r="P4" i="1"/>
  <c r="P59" i="1"/>
  <c r="P84" i="1"/>
  <c r="P63" i="1"/>
  <c r="P73" i="1"/>
  <c r="P14" i="1"/>
  <c r="P23" i="1"/>
  <c r="P77" i="1"/>
  <c r="P98" i="1"/>
  <c r="P40" i="1"/>
  <c r="P21" i="1"/>
  <c r="P35" i="1"/>
  <c r="P58" i="1"/>
  <c r="P50" i="1"/>
  <c r="P6" i="1"/>
  <c r="P27" i="1"/>
  <c r="P25" i="1"/>
  <c r="P39" i="1"/>
  <c r="P74" i="1"/>
  <c r="P3" i="1"/>
  <c r="P92" i="1"/>
  <c r="P36" i="1"/>
  <c r="P81" i="1"/>
  <c r="P15" i="1"/>
  <c r="P16" i="1"/>
  <c r="P100" i="1"/>
  <c r="P62" i="1"/>
  <c r="P94" i="1"/>
  <c r="P33" i="1"/>
  <c r="P56" i="1"/>
  <c r="P47" i="1"/>
  <c r="P26" i="1"/>
  <c r="P44" i="1"/>
  <c r="P51" i="1"/>
  <c r="P20" i="1"/>
  <c r="P48" i="1"/>
  <c r="P52" i="1"/>
  <c r="P8" i="1"/>
  <c r="P46" i="1"/>
  <c r="P76" i="1"/>
  <c r="P88" i="1"/>
  <c r="P96" i="1"/>
  <c r="P5" i="1"/>
  <c r="P38" i="1"/>
  <c r="P49" i="1"/>
  <c r="P70" i="1"/>
  <c r="P99" i="1"/>
  <c r="P13" i="1"/>
  <c r="P18" i="1"/>
  <c r="P69" i="1"/>
  <c r="P86" i="1"/>
  <c r="P12" i="1"/>
  <c r="P83" i="1"/>
  <c r="P17" i="1"/>
  <c r="P65" i="1"/>
  <c r="P79" i="1"/>
  <c r="P80" i="1"/>
  <c r="P68" i="1"/>
  <c r="T42" i="1"/>
  <c r="T82" i="1"/>
  <c r="T60" i="1"/>
  <c r="T64" i="1"/>
  <c r="T78" i="1"/>
  <c r="T41" i="1"/>
  <c r="T45" i="1"/>
  <c r="T72" i="1"/>
  <c r="T30" i="1"/>
  <c r="T43" i="1"/>
  <c r="T87" i="1"/>
  <c r="T89" i="1"/>
  <c r="T90" i="1"/>
  <c r="T91" i="1"/>
  <c r="T31" i="1"/>
  <c r="T53" i="1"/>
  <c r="T7" i="1"/>
  <c r="T66" i="1"/>
  <c r="T67" i="1"/>
  <c r="T71" i="1"/>
  <c r="T101" i="1"/>
  <c r="T19" i="1"/>
  <c r="T54" i="1"/>
  <c r="T10" i="1"/>
  <c r="T22" i="1"/>
  <c r="T93" i="1"/>
  <c r="T95" i="1"/>
  <c r="T32" i="1"/>
  <c r="T37" i="1"/>
  <c r="T85" i="1"/>
  <c r="T24" i="1"/>
  <c r="T34" i="1"/>
  <c r="T75" i="1"/>
  <c r="T57" i="1"/>
  <c r="T97" i="1"/>
  <c r="T28" i="1"/>
  <c r="T29" i="1"/>
  <c r="T55" i="1"/>
  <c r="T9" i="1"/>
  <c r="T11" i="1"/>
  <c r="T61" i="1"/>
  <c r="T2" i="1"/>
  <c r="T4" i="1"/>
  <c r="T59" i="1"/>
  <c r="T84" i="1"/>
  <c r="T63" i="1"/>
  <c r="T73" i="1"/>
  <c r="T14" i="1"/>
  <c r="T23" i="1"/>
  <c r="T77" i="1"/>
  <c r="T98" i="1"/>
  <c r="T40" i="1"/>
  <c r="T21" i="1"/>
  <c r="T35" i="1"/>
  <c r="T58" i="1"/>
  <c r="T50" i="1"/>
  <c r="T6" i="1"/>
  <c r="T27" i="1"/>
  <c r="T25" i="1"/>
  <c r="T39" i="1"/>
  <c r="T74" i="1"/>
  <c r="T3" i="1"/>
  <c r="T92" i="1"/>
  <c r="T36" i="1"/>
  <c r="T81" i="1"/>
  <c r="T15" i="1"/>
  <c r="T16" i="1"/>
  <c r="T100" i="1"/>
  <c r="T62" i="1"/>
  <c r="T94" i="1"/>
  <c r="T33" i="1"/>
  <c r="T56" i="1"/>
  <c r="T47" i="1"/>
  <c r="T26" i="1"/>
  <c r="T44" i="1"/>
  <c r="T51" i="1"/>
  <c r="T20" i="1"/>
  <c r="T48" i="1"/>
  <c r="T52" i="1"/>
  <c r="T8" i="1"/>
  <c r="T46" i="1"/>
  <c r="T76" i="1"/>
  <c r="T88" i="1"/>
  <c r="T96" i="1"/>
  <c r="T5" i="1"/>
  <c r="T38" i="1"/>
  <c r="T49" i="1"/>
  <c r="T70" i="1"/>
  <c r="T99" i="1"/>
  <c r="T13" i="1"/>
  <c r="T18" i="1"/>
  <c r="T69" i="1"/>
  <c r="T86" i="1"/>
  <c r="T12" i="1"/>
  <c r="T83" i="1"/>
  <c r="T17" i="1"/>
  <c r="T65" i="1"/>
  <c r="T79" i="1"/>
  <c r="T80" i="1"/>
  <c r="T68"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alcChain>
</file>

<file path=xl/sharedStrings.xml><?xml version="1.0" encoding="utf-8"?>
<sst xmlns="http://schemas.openxmlformats.org/spreadsheetml/2006/main" count="1052" uniqueCount="342">
  <si>
    <t>Order ID</t>
  </si>
  <si>
    <t>Order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</si>
  <si>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</si>
  <si>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</si>
  <si>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</si>
  <si>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</si>
  <si>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</si>
  <si>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</si>
  <si>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</si>
  <si>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</si>
  <si>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</si>
  <si>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</si>
  <si>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</si>
  <si>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</si>
  <si>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</si>
  <si>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</si>
  <si>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</si>
  <si>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DHL</t>
  </si>
  <si>
    <t>ORD0002</t>
  </si>
  <si>
    <t>CUST029</t>
  </si>
  <si>
    <t>PROD018</t>
  </si>
  <si>
    <t>East</t>
  </si>
  <si>
    <t>Credit Card</t>
  </si>
  <si>
    <t>ORD0003</t>
  </si>
  <si>
    <t>PROD013</t>
  </si>
  <si>
    <t>South</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</si>
  <si>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</si>
  <si>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</si>
  <si>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</si>
  <si>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</si>
  <si>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</si>
  <si>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</si>
  <si>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</si>
  <si>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</si>
  <si>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</si>
  <si>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</si>
  <si>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</si>
  <si>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</si>
  <si>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</si>
  <si>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</si>
  <si>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</si>
  <si>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</si>
  <si>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</si>
  <si>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</si>
  <si>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</si>
  <si>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</si>
  <si>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</si>
  <si>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</si>
  <si>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</si>
  <si>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</si>
  <si>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</si>
  <si>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</si>
  <si>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</si>
  <si>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</si>
  <si>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</si>
  <si>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</si>
  <si>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</si>
  <si>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</si>
  <si>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</si>
  <si>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</si>
  <si>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</si>
  <si>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</si>
  <si>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</si>
  <si>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</si>
  <si>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</si>
  <si>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</si>
  <si>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</si>
  <si>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</si>
  <si>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</si>
  <si>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</si>
  <si>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</si>
  <si>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</si>
  <si>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</si>
  <si>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</si>
  <si>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</si>
  <si>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</si>
  <si>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</si>
  <si>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</si>
  <si>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</si>
  <si>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</si>
  <si>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</si>
  <si>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</si>
  <si>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</si>
  <si>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</si>
  <si>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</si>
  <si>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</si>
  <si>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</si>
  <si>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</si>
  <si>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</si>
  <si>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</si>
  <si>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</si>
  <si>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</si>
  <si>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</si>
  <si>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</si>
  <si>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</si>
  <si>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</si>
  <si>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</si>
  <si>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</si>
  <si>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</si>
  <si>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</si>
  <si>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</si>
  <si>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</si>
  <si>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</si>
  <si>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</si>
  <si>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</si>
  <si>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</si>
  <si>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</si>
  <si>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</si>
  <si>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</si>
  <si>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</si>
  <si>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</si>
  <si>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</si>
  <si>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</si>
  <si>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</si>
  <si>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</si>
  <si>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</si>
  <si>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</si>
  <si>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</si>
  <si>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</si>
  <si>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</si>
  <si>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</si>
  <si>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</si>
  <si>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</si>
  <si>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</si>
  <si>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</si>
  <si>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</si>
  <si>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</si>
  <si>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</si>
  <si>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</si>
  <si>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</si>
  <si>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</si>
  <si>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</si>
  <si>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</si>
  <si>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</si>
  <si>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</si>
  <si>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</si>
  <si>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</si>
  <si>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</si>
  <si>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</si>
  <si>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</si>
  <si>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</si>
  <si>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</si>
  <si>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</si>
  <si>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</si>
  <si>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</si>
  <si>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</si>
  <si>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</si>
  <si>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</si>
  <si>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</si>
  <si>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</si>
  <si>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</si>
  <si>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</si>
  <si>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</si>
  <si>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</si>
  <si>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</si>
  <si>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</si>
  <si>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</si>
  <si>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</si>
  <si>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</si>
  <si>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</si>
  <si>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</si>
  <si>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</si>
  <si>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</si>
  <si>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</si>
  <si>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</si>
  <si>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</si>
  <si>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</si>
  <si>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</si>
  <si>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</si>
  <si>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</si>
  <si>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</si>
  <si>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</si>
  <si>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</si>
  <si>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</si>
  <si>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</si>
  <si>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</si>
  <si>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</si>
  <si>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</si>
  <si>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</si>
  <si>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</si>
  <si>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</si>
  <si>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</si>
  <si>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</si>
  <si>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</si>
  <si>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</si>
  <si>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</si>
  <si>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</si>
  <si>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</si>
  <si>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</si>
  <si>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</si>
  <si>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</si>
  <si>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</si>
  <si>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</si>
  <si>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</si>
  <si>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</si>
  <si>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</si>
  <si>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</si>
  <si>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</si>
  <si>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</si>
  <si>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</si>
  <si>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</si>
  <si>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</si>
  <si>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</si>
  <si>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</si>
  <si>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</si>
  <si>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</si>
  <si>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</si>
  <si>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</si>
  <si>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</si>
  <si>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</si>
  <si>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</si>
  <si>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</si>
  <si>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</si>
  <si>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</si>
  <si>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</si>
  <si>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</si>
  <si>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</si>
  <si>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</si>
  <si>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</si>
  <si>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</si>
  <si>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</si>
  <si>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</si>
  <si>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</si>
  <si>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</si>
  <si>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</si>
  <si>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</si>
  <si>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</si>
  <si>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</si>
  <si>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</si>
  <si>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</si>
  <si>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</si>
  <si>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</si>
  <si>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</si>
  <si>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</si>
  <si>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</si>
  <si>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</si>
  <si>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</si>
  <si>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</si>
  <si>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</si>
  <si>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</si>
  <si>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</si>
  <si>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</si>
  <si>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</si>
  <si>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</si>
  <si>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</si>
  <si>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</si>
  <si>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</si>
  <si>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</si>
  <si>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</si>
  <si>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</si>
  <si>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</si>
  <si>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</si>
  <si>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</si>
  <si>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</si>
  <si>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</si>
  <si>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</si>
  <si>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</si>
  <si>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</si>
  <si>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</si>
  <si>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</si>
  <si>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</si>
  <si>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</si>
  <si>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</si>
  <si>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</si>
  <si>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</si>
  <si>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</si>
  <si>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</si>
  <si>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</si>
  <si>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</si>
  <si>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</si>
  <si>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</si>
  <si>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</si>
  <si>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</si>
  <si>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</si>
  <si>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</si>
  <si>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</si>
  <si>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</si>
  <si>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</si>
  <si>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</si>
  <si>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</si>
  <si>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</si>
  <si>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</si>
  <si>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</si>
  <si>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</si>
  <si>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</si>
  <si>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</si>
  <si>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</si>
  <si>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</si>
  <si>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</si>
  <si>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</si>
  <si>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</si>
  <si>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</si>
  <si>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</si>
  <si>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</si>
  <si>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</si>
  <si>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</si>
  <si>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</si>
  <si>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</si>
  <si>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</si>
  <si>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</si>
  <si>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</si>
  <si>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</si>
  <si>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</si>
  <si>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</si>
  <si>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</si>
  <si>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</si>
  <si>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</si>
  <si>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Coustmer Name</t>
  </si>
  <si>
    <t>Regional Target</t>
  </si>
  <si>
    <t>Column1</t>
  </si>
  <si>
    <t>Product Category</t>
  </si>
  <si>
    <t>Delivery Date</t>
  </si>
  <si>
    <t>Order Month</t>
  </si>
  <si>
    <t>Cancellation Count</t>
  </si>
  <si>
    <t>Oder Count</t>
  </si>
  <si>
    <t>Fat Delivery</t>
  </si>
  <si>
    <t>Delivery Performance</t>
  </si>
  <si>
    <t>Deliverd</t>
  </si>
  <si>
    <t>Sum of Total Amount</t>
  </si>
  <si>
    <t>Row Labels</t>
  </si>
  <si>
    <t>Grand Total</t>
  </si>
  <si>
    <t>(All)</t>
  </si>
  <si>
    <t>In Transit</t>
  </si>
  <si>
    <t>Cancelled</t>
  </si>
  <si>
    <t>Delivered</t>
  </si>
  <si>
    <t>(Multiple Items)</t>
  </si>
  <si>
    <t>Cleaned Delivery Status</t>
  </si>
  <si>
    <t xml:space="preserve"> Cancellation Rate by Region </t>
  </si>
  <si>
    <t xml:space="preserve">Sum of Cancellation Rate by Region </t>
  </si>
  <si>
    <t>Total Sales Amount by Product Category</t>
  </si>
  <si>
    <t xml:space="preserve">Total Sales Amount by Region </t>
  </si>
  <si>
    <t xml:space="preserve">	Count of Orders by Delivery Status</t>
  </si>
  <si>
    <t>Count of Order ID</t>
  </si>
  <si>
    <t>Average of Delivery Days</t>
  </si>
  <si>
    <t xml:space="preserve">Average Delivery Time </t>
  </si>
  <si>
    <r>
      <t xml:space="preserve">     </t>
    </r>
    <r>
      <rPr>
        <b/>
        <sz val="14"/>
        <color theme="0"/>
        <rFont val="Calibri"/>
        <family val="2"/>
        <scheme val="minor"/>
      </rPr>
      <t xml:space="preserve"> Total Revenue</t>
    </r>
  </si>
  <si>
    <t>% of Fast Deliveries</t>
  </si>
  <si>
    <t>Sum of Field1</t>
  </si>
  <si>
    <t>Top 3 Performing Regions</t>
  </si>
  <si>
    <t>Highest-selling Product</t>
  </si>
  <si>
    <r>
      <t xml:space="preserve">       </t>
    </r>
    <r>
      <rPr>
        <sz val="11"/>
        <color rgb="FF009900"/>
        <rFont val="Calibri"/>
        <family val="2"/>
        <scheme val="minor"/>
      </rPr>
      <t xml:space="preserve">  </t>
    </r>
    <r>
      <rPr>
        <b/>
        <sz val="14"/>
        <color theme="0"/>
        <rFont val="Calibri"/>
        <family val="2"/>
        <scheme val="minor"/>
      </rPr>
      <t>Sales Amount for Delivered Orders only</t>
    </r>
  </si>
  <si>
    <t>Sum of Effective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</si>
</sst>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F800]dddd\,\ mmmm\ dd\,\ yyyy"/>
    <numFmt numFmtId="165" formatCode="_-[$$-409]* #,##0_ ;_-[$$-409]* \-#,##0\ ;_-[$$-409]* &quot;-&quot;??_ ;_-@_ "/>
    <numFmt numFmtId="166" formatCode="[$$-409]#,##0.00_ ;\-[$$-409]#,##0.00\ "/>
    <numFmt numFmtId="167" formatCode="[$$-409]#,##0.00"/>
    <numFmt numFmtId="168" formatCode="[$$-C09]#,##0.00"/>
    <numFmt numFmtId="169" formatCode="[$$-C09]#,##0"/>
    <numFmt numFmtId="170" formatCode="[$$-409]#,##0"/>
    <numFmt numFmtId="171" formatCode="[$$-409]#,##0_ ;\-[$$-409]#,##0\ "/>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font>
    <font>
      <sz val="8"/>
      <name val="Calibri"/>
      <family val="2"/>
      <scheme val="minor"/>
    </font>
    <font>
      <b/>
      <sz val="11"/>
      <color theme="0"/>
      <name val="Calibri"/>
      <family val="2"/>
      <scheme val="minor"/>
    </font>
    <font>
      <b/>
      <sz val="11"/>
      <color theme="1"/>
      <name val="Calibri"/>
      <scheme val="minor"/>
    </font>
    <font>
      <b/>
      <sz val="14"/>
      <color rgb="FF002060"/>
      <name val="Calibri"/>
      <family val="2"/>
      <scheme val="minor"/>
    </font>
    <font>
      <b/>
      <sz val="14"/>
      <color theme="0"/>
      <name val="Calibri"/>
      <family val="2"/>
      <scheme val="minor"/>
    </font>
    <font>
      <sz val="11"/>
      <color rgb="FF009900"/>
      <name val="Calibri"/>
      <family val="2"/>
      <scheme val="minor"/>
    </font>
    <font>
      <sz val="14"/>
      <color theme="1"/>
      <name val="Arial Black"/>
      <family val="2"/>
    </font>
    <font>
      <b/>
      <sz val="14"/>
      <color theme="1"/>
      <name val="Arial Black"/>
      <family val="2"/>
    </font>
    <font>
      <sz val="14"/>
      <color theme="1"/>
      <name val="Bahnschrift Light Condensed"/>
      <family val="2"/>
    </font>
  </fonts>
  <fills count="8">
    <fill>
      <patternFill patternType="none"/>
    </fill>
    <fill>
      <patternFill patternType="gray125"/>
    </fill>
    <fill>
      <patternFill patternType="solid">
        <fgColor theme="4" tint="-0.249977111117893"/>
        <bgColor indexed="64"/>
      </patternFill>
    </fill>
    <fill>
      <patternFill patternType="solid">
        <fgColor rgb="FFFFC000"/>
        <bgColor indexed="64"/>
      </patternFill>
    </fill>
    <fill>
      <patternFill patternType="solid">
        <fgColor theme="6"/>
        <bgColor indexed="64"/>
      </patternFill>
    </fill>
    <fill>
      <patternFill patternType="solid">
        <fgColor rgb="FF00B050"/>
        <bgColor indexed="64"/>
      </patternFill>
    </fill>
    <fill>
      <patternFill patternType="solid">
        <fgColor theme="1" tint="0.249977111117893"/>
        <bgColor indexed="64"/>
      </patternFill>
    </fill>
    <fill>
      <patternFill patternType="solid">
        <fgColor rgb="FF92D05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44" fontId="5" fillId="0" borderId="0" applyFont="0" applyFill="0" applyBorder="0" applyAlignment="0" applyProtection="0"/>
  </cellStyleXfs>
  <cellXfs count="77">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right" vertical="center"/>
    </xf>
    <xf numFmtId="0" fontId="4" fillId="0" borderId="0" xfId="0" applyFont="1" applyAlignment="1">
      <alignment horizontal="left"/>
    </xf>
    <xf numFmtId="0" fontId="4" fillId="0" borderId="0" xfId="0"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0" xfId="0" applyFont="1" applyAlignment="1">
      <alignment vertical="center"/>
    </xf>
    <xf numFmtId="3" fontId="4" fillId="0" borderId="1" xfId="0" applyNumberFormat="1" applyFont="1" applyBorder="1"/>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right" vertical="center"/>
    </xf>
    <xf numFmtId="0" fontId="3"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8" xfId="0" applyFont="1" applyBorder="1" applyAlignment="1">
      <alignment horizontal="right" vertical="center"/>
    </xf>
    <xf numFmtId="0" fontId="4" fillId="0" borderId="9" xfId="0" applyFont="1" applyBorder="1" applyAlignment="1">
      <alignment horizontal="left" vertical="center"/>
    </xf>
    <xf numFmtId="14" fontId="3" fillId="0" borderId="5" xfId="0" applyNumberFormat="1" applyFont="1" applyBorder="1" applyAlignment="1">
      <alignment horizontal="center" vertical="top"/>
    </xf>
    <xf numFmtId="14" fontId="4" fillId="0" borderId="1" xfId="0" applyNumberFormat="1" applyFont="1" applyBorder="1"/>
    <xf numFmtId="14" fontId="4" fillId="0" borderId="8" xfId="0" applyNumberFormat="1" applyFont="1" applyBorder="1"/>
    <xf numFmtId="14" fontId="0" fillId="0" borderId="0" xfId="0" applyNumberFormat="1"/>
    <xf numFmtId="0" fontId="6" fillId="0" borderId="10" xfId="0" applyFont="1" applyBorder="1" applyAlignment="1">
      <alignment horizontal="left" vertical="center"/>
    </xf>
    <xf numFmtId="0" fontId="0" fillId="0" borderId="10" xfId="0" applyBorder="1"/>
    <xf numFmtId="0" fontId="0" fillId="0" borderId="11" xfId="0" applyBorder="1"/>
    <xf numFmtId="0" fontId="0" fillId="0" borderId="12" xfId="0" applyBorder="1"/>
    <xf numFmtId="0" fontId="6" fillId="0" borderId="0" xfId="0" applyFont="1" applyAlignment="1">
      <alignment horizontal="left" vertical="center"/>
    </xf>
    <xf numFmtId="164" fontId="0" fillId="0" borderId="0" xfId="0" applyNumberFormat="1"/>
    <xf numFmtId="49" fontId="6" fillId="2" borderId="1" xfId="0" applyNumberFormat="1" applyFont="1" applyFill="1" applyBorder="1" applyAlignment="1">
      <alignment horizontal="center" vertical="center"/>
    </xf>
    <xf numFmtId="165" fontId="3" fillId="0" borderId="5" xfId="0" applyNumberFormat="1" applyFont="1" applyBorder="1" applyAlignment="1">
      <alignment horizontal="right" vertical="center"/>
    </xf>
    <xf numFmtId="165" fontId="4" fillId="0" borderId="1" xfId="0" applyNumberFormat="1" applyFont="1" applyBorder="1" applyAlignment="1">
      <alignment horizontal="right" vertical="center"/>
    </xf>
    <xf numFmtId="165" fontId="4" fillId="0" borderId="8" xfId="0" applyNumberFormat="1" applyFont="1" applyBorder="1" applyAlignment="1">
      <alignment horizontal="right" vertical="center"/>
    </xf>
    <xf numFmtId="165" fontId="0" fillId="0" borderId="0" xfId="0" applyNumberFormat="1"/>
    <xf numFmtId="165" fontId="6" fillId="0" borderId="5" xfId="1" applyNumberFormat="1" applyFont="1" applyBorder="1" applyAlignment="1">
      <alignment horizontal="right" vertical="center"/>
    </xf>
    <xf numFmtId="165" fontId="2" fillId="0" borderId="1" xfId="0" applyNumberFormat="1" applyFont="1" applyBorder="1"/>
    <xf numFmtId="165" fontId="2" fillId="0" borderId="8" xfId="0" applyNumberFormat="1" applyFont="1" applyBorder="1"/>
    <xf numFmtId="165" fontId="0" fillId="0" borderId="0" xfId="1" applyNumberFormat="1" applyFont="1"/>
    <xf numFmtId="0" fontId="6" fillId="0" borderId="5" xfId="0" applyFont="1" applyBorder="1" applyAlignment="1">
      <alignment horizontal="left" vertical="center"/>
    </xf>
    <xf numFmtId="0" fontId="0" fillId="0" borderId="0" xfId="0" pivotButton="1"/>
    <xf numFmtId="0" fontId="0" fillId="0" borderId="0" xfId="0" applyAlignment="1">
      <alignment horizontal="left"/>
    </xf>
    <xf numFmtId="164" fontId="4" fillId="0" borderId="8" xfId="0" applyNumberFormat="1" applyFont="1" applyBorder="1"/>
    <xf numFmtId="165" fontId="0" fillId="0" borderId="8" xfId="1" applyNumberFormat="1" applyFont="1" applyBorder="1"/>
    <xf numFmtId="0" fontId="0" fillId="0" borderId="13" xfId="0" applyBorder="1" applyAlignment="1">
      <alignment horizontal="left"/>
    </xf>
    <xf numFmtId="0" fontId="0" fillId="0" borderId="14" xfId="0" applyBorder="1" applyAlignment="1">
      <alignment horizontal="left"/>
    </xf>
    <xf numFmtId="0" fontId="0" fillId="0" borderId="10" xfId="0" applyBorder="1" applyAlignment="1">
      <alignment horizontal="left"/>
    </xf>
    <xf numFmtId="10" fontId="0" fillId="0" borderId="10" xfId="0" applyNumberFormat="1" applyBorder="1"/>
    <xf numFmtId="9" fontId="0" fillId="0" borderId="10" xfId="0" applyNumberFormat="1" applyBorder="1"/>
    <xf numFmtId="0" fontId="0" fillId="0" borderId="10" xfId="0" pivotButton="1" applyBorder="1"/>
    <xf numFmtId="2" fontId="0" fillId="0" borderId="10" xfId="0" applyNumberFormat="1" applyBorder="1"/>
    <xf numFmtId="0" fontId="0" fillId="0" borderId="14" xfId="0" applyBorder="1"/>
    <xf numFmtId="0" fontId="0" fillId="0" borderId="12" xfId="0" pivotButton="1" applyBorder="1"/>
    <xf numFmtId="168" fontId="0" fillId="0" borderId="12" xfId="0" applyNumberFormat="1" applyBorder="1"/>
    <xf numFmtId="168" fontId="0" fillId="0" borderId="10" xfId="0" applyNumberFormat="1" applyBorder="1"/>
    <xf numFmtId="168" fontId="0" fillId="0" borderId="12" xfId="0" pivotButton="1" applyNumberFormat="1" applyBorder="1"/>
    <xf numFmtId="0" fontId="9" fillId="6" borderId="0" xfId="0" applyFont="1" applyFill="1"/>
    <xf numFmtId="0" fontId="0" fillId="6" borderId="0" xfId="0" applyFill="1"/>
    <xf numFmtId="14" fontId="0" fillId="6" borderId="0" xfId="0" applyNumberFormat="1" applyFill="1"/>
    <xf numFmtId="169" fontId="0" fillId="7" borderId="10" xfId="0" applyNumberFormat="1" applyFill="1" applyBorder="1"/>
    <xf numFmtId="169" fontId="0" fillId="0" borderId="10" xfId="0" applyNumberFormat="1" applyBorder="1"/>
    <xf numFmtId="170" fontId="0" fillId="0" borderId="10" xfId="0" applyNumberFormat="1" applyBorder="1"/>
    <xf numFmtId="171" fontId="0" fillId="0" borderId="10" xfId="0" applyNumberFormat="1" applyBorder="1"/>
    <xf numFmtId="1" fontId="0" fillId="0" borderId="10" xfId="0" applyNumberFormat="1" applyBorder="1"/>
    <xf numFmtId="0" fontId="13" fillId="0" borderId="0" xfId="0" applyFont="1"/>
    <xf numFmtId="0" fontId="14" fillId="0" borderId="0" xfId="0" applyFont="1"/>
    <xf numFmtId="0" fontId="15" fillId="0" borderId="0" xfId="0" applyFont="1"/>
    <xf numFmtId="0" fontId="8" fillId="5" borderId="10" xfId="0" applyFont="1" applyFill="1" applyBorder="1" applyAlignment="1">
      <alignment horizontal="center"/>
    </xf>
    <xf numFmtId="0" fontId="11" fillId="5" borderId="10" xfId="0" applyFont="1" applyFill="1" applyBorder="1" applyAlignment="1">
      <alignment horizontal="center"/>
    </xf>
    <xf numFmtId="0" fontId="1" fillId="5" borderId="10" xfId="0" applyFont="1" applyFill="1" applyBorder="1" applyAlignment="1">
      <alignment horizontal="left"/>
    </xf>
    <xf numFmtId="0" fontId="0" fillId="5" borderId="10" xfId="0" applyFill="1" applyBorder="1" applyAlignment="1">
      <alignment horizontal="left"/>
    </xf>
    <xf numFmtId="0" fontId="10" fillId="3" borderId="0" xfId="0" applyFont="1" applyFill="1" applyAlignment="1">
      <alignment horizontal="center"/>
    </xf>
    <xf numFmtId="0" fontId="0" fillId="3" borderId="0" xfId="0" applyFill="1" applyAlignment="1">
      <alignment horizontal="center"/>
    </xf>
    <xf numFmtId="0" fontId="10" fillId="4" borderId="0" xfId="0" applyFont="1" applyFill="1" applyAlignment="1">
      <alignment horizontal="center"/>
    </xf>
    <xf numFmtId="0" fontId="0" fillId="4" borderId="0" xfId="0" applyFill="1" applyAlignment="1">
      <alignment horizontal="center"/>
    </xf>
  </cellXfs>
  <cellStyles count="2">
    <cellStyle name="Currency" xfId="1" builtinId="4"/>
    <cellStyle name="Normal" xfId="0" builtinId="0"/>
  </cellStyles>
  <dxfs count="178">
    <dxf>
      <font>
        <color rgb="FF9C5700"/>
      </font>
      <fill>
        <patternFill>
          <bgColor rgb="FFFFEB9C"/>
        </patternFill>
      </fill>
    </dxf>
    <dxf>
      <fill>
        <patternFill>
          <bgColor rgb="FFFF0000"/>
        </patternFill>
      </fill>
    </dxf>
    <dxf>
      <font>
        <color rgb="FF006100"/>
      </font>
      <fill>
        <patternFill>
          <bgColor rgb="FFC6EFCE"/>
        </patternFill>
      </fill>
    </dxf>
    <dxf>
      <font>
        <color rgb="FF9C5700"/>
      </font>
      <fill>
        <patternFill>
          <bgColor rgb="FFFFEB9C"/>
        </patternFill>
      </fill>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165" formatCode="_-[$$-409]* #,##0_ ;_-[$$-409]* \-#,##0\ ;_-[$$-409]* &quot;-&quot;??_ ;_-@_ "/>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numFmt numFmtId="165" formatCode="_-[$$-409]* #,##0_ ;_-[$$-409]* \-#,##0\ ;_-[$$-409]* &quot;-&quot;??_ ;_-@_ "/>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righ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5" formatCode="_-[$$-409]* #,##0_ ;_-[$$-409]* \-#,##0\ ;_-[$$-409]* &quot;-&quot;??_ ;_-@_ "/>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5" formatCode="_-[$$-409]* #,##0_ ;_-[$$-409]* \-#,##0\ ;_-[$$-409]* &quot;-&quot;??_ ;_-@_ "/>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9" formatCode="dd/mm/yyyy"/>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164" formatCode="[$-F800]dddd\,\ mmmm\ dd\,\ yyyy"/>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none"/>
      </font>
      <numFmt numFmtId="164" formatCode="[$-F800]dddd\,\ mmmm\ dd\,\ yyyy"/>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border>
        <right style="thin">
          <color indexed="64"/>
        </right>
      </border>
    </dxf>
    <dxf>
      <border>
        <right style="thin">
          <color indexed="64"/>
        </right>
      </border>
    </dxf>
    <dxf>
      <numFmt numFmtId="169" formatCode="[$$-C09]#,##0"/>
    </dxf>
    <dxf>
      <numFmt numFmtId="168" formatCode="[$$-C09]#,##0.00"/>
    </dxf>
    <dxf>
      <numFmt numFmtId="168" formatCode="[$$-C09]#,##0.00"/>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3" formatCode="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92D050"/>
        </patternFill>
      </fill>
    </dxf>
    <dxf>
      <alignment horizontal="center"/>
    </dxf>
    <dxf>
      <fill>
        <patternFill patternType="solid">
          <bgColor rgb="FF92D050"/>
        </patternFill>
      </fill>
    </dxf>
    <dxf>
      <border>
        <right style="thin">
          <color indexed="64"/>
        </right>
      </border>
    </dxf>
    <dxf>
      <border>
        <right style="thin">
          <color indexed="64"/>
        </right>
      </border>
    </dxf>
    <dxf>
      <border>
        <right style="thin">
          <color indexed="64"/>
        </right>
      </border>
    </dxf>
    <dxf>
      <numFmt numFmtId="169" formatCode="[$$-C09]#,##0"/>
    </dxf>
    <dxf>
      <numFmt numFmtId="168" formatCode="[$$-C09]#,##0.00"/>
    </dxf>
    <dxf>
      <numFmt numFmtId="168" formatCode="[$$-C09]#,##0.00"/>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409]#,##0_ ;\-[$$-409]#,##0\ "/>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409]#,##0"/>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409]* #,##0_ ;_-[$$-409]* \-#,##0\ ;_-[$$-409]* &quot;-&quot;??_ ;_-@_ "/>
    </dxf>
    <dxf>
      <numFmt numFmtId="1" formatCode="0"/>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409]#,##0"/>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table!PivotTable16</c:name>
    <c:fmtId val="25"/>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Cancellation Rate by Region </a:t>
            </a:r>
          </a:p>
        </c:rich>
      </c:tx>
      <c:layout>
        <c:manualLayout>
          <c:xMode val="edge"/>
          <c:yMode val="edge"/>
          <c:x val="0.1792627133809345"/>
          <c:y val="4.5842584512513482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table'!$J$2</c:f>
              <c:strCache>
                <c:ptCount val="1"/>
                <c:pt idx="0">
                  <c:v>Total</c:v>
                </c:pt>
              </c:strCache>
            </c:strRef>
          </c:tx>
          <c:dPt>
            <c:idx val="0"/>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871-4F14-BA32-6C0B0A73C321}"/>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871-4F14-BA32-6C0B0A73C32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871-4F14-BA32-6C0B0A73C321}"/>
              </c:ext>
            </c:extLst>
          </c:dPt>
          <c:dPt>
            <c:idx val="3"/>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871-4F14-BA32-6C0B0A73C321}"/>
              </c:ext>
            </c:extLst>
          </c:dPt>
          <c:dPt>
            <c:idx val="4"/>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871-4F14-BA32-6C0B0A73C3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table'!$I$3:$I$8</c:f>
              <c:strCache>
                <c:ptCount val="5"/>
                <c:pt idx="0">
                  <c:v>Central</c:v>
                </c:pt>
                <c:pt idx="1">
                  <c:v>East</c:v>
                </c:pt>
                <c:pt idx="2">
                  <c:v>North</c:v>
                </c:pt>
                <c:pt idx="3">
                  <c:v>South</c:v>
                </c:pt>
                <c:pt idx="4">
                  <c:v>West</c:v>
                </c:pt>
              </c:strCache>
            </c:strRef>
          </c:cat>
          <c:val>
            <c:numRef>
              <c:f>'Pivot table'!$J$3:$J$8</c:f>
              <c:numCache>
                <c:formatCode>0.00%</c:formatCode>
                <c:ptCount val="5"/>
                <c:pt idx="0">
                  <c:v>0.35714285714285715</c:v>
                </c:pt>
                <c:pt idx="1">
                  <c:v>0.16666666666666666</c:v>
                </c:pt>
                <c:pt idx="2">
                  <c:v>0.4</c:v>
                </c:pt>
                <c:pt idx="3">
                  <c:v>0.2</c:v>
                </c:pt>
                <c:pt idx="4">
                  <c:v>0.34782608695652173</c:v>
                </c:pt>
              </c:numCache>
            </c:numRef>
          </c:val>
          <c:extLst>
            <c:ext xmlns:c16="http://schemas.microsoft.com/office/drawing/2014/chart" uri="{C3380CC4-5D6E-409C-BE32-E72D297353CC}">
              <c16:uniqueId val="{0000000A-5871-4F14-BA32-6C0B0A73C3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a:t>
            </a:r>
            <a:r>
              <a:rPr lang="en-US" baseline="0"/>
              <a:t> Sale amount</a:t>
            </a:r>
            <a:endParaRPr lang="en-US"/>
          </a:p>
        </c:rich>
      </c:tx>
      <c:layout>
        <c:manualLayout>
          <c:xMode val="edge"/>
          <c:yMode val="edge"/>
          <c:x val="0.18714142078137655"/>
          <c:y val="3.913633015721408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075262317979567E-2"/>
          <c:y val="0.23105703186053436"/>
          <c:w val="0.91984947536404083"/>
          <c:h val="0.64124510380560595"/>
        </c:manualLayout>
      </c:layout>
      <c:bar3DChart>
        <c:barDir val="col"/>
        <c:grouping val="clustered"/>
        <c:varyColors val="0"/>
        <c:ser>
          <c:idx val="0"/>
          <c:order val="0"/>
          <c:tx>
            <c:strRef>
              <c:f>'Pivot table'!$B$4</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table'!$A$5:$A$10</c:f>
              <c:strCache>
                <c:ptCount val="5"/>
                <c:pt idx="0">
                  <c:v>West</c:v>
                </c:pt>
                <c:pt idx="1">
                  <c:v>North</c:v>
                </c:pt>
                <c:pt idx="2">
                  <c:v>South</c:v>
                </c:pt>
                <c:pt idx="3">
                  <c:v>East</c:v>
                </c:pt>
                <c:pt idx="4">
                  <c:v>Central</c:v>
                </c:pt>
              </c:strCache>
            </c:strRef>
          </c:cat>
          <c:val>
            <c:numRef>
              <c:f>'Pivot table'!$B$5:$B$10</c:f>
              <c:numCache>
                <c:formatCode>_-[$$-409]* #,##0_ ;_-[$$-409]* \-#,##0\ ;_-[$$-409]* "-"??_ ;_-@_ </c:formatCode>
                <c:ptCount val="5"/>
                <c:pt idx="0">
                  <c:v>6921</c:v>
                </c:pt>
                <c:pt idx="1">
                  <c:v>7030</c:v>
                </c:pt>
                <c:pt idx="2">
                  <c:v>6779</c:v>
                </c:pt>
                <c:pt idx="3">
                  <c:v>3353</c:v>
                </c:pt>
                <c:pt idx="4">
                  <c:v>4214</c:v>
                </c:pt>
              </c:numCache>
            </c:numRef>
          </c:val>
          <c:extLst>
            <c:ext xmlns:c16="http://schemas.microsoft.com/office/drawing/2014/chart" uri="{C3380CC4-5D6E-409C-BE32-E72D297353CC}">
              <c16:uniqueId val="{00000000-D8BB-4867-AD97-6CB308AF88E2}"/>
            </c:ext>
          </c:extLst>
        </c:ser>
        <c:dLbls>
          <c:showLegendKey val="0"/>
          <c:showVal val="1"/>
          <c:showCatName val="0"/>
          <c:showSerName val="0"/>
          <c:showPercent val="0"/>
          <c:showBubbleSize val="0"/>
        </c:dLbls>
        <c:gapWidth val="84"/>
        <c:gapDepth val="53"/>
        <c:shape val="box"/>
        <c:axId val="2067628159"/>
        <c:axId val="2067632479"/>
        <c:axId val="0"/>
      </c:bar3DChart>
      <c:catAx>
        <c:axId val="2067628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7632479"/>
        <c:crosses val="autoZero"/>
        <c:auto val="1"/>
        <c:lblAlgn val="ctr"/>
        <c:lblOffset val="100"/>
        <c:noMultiLvlLbl val="0"/>
      </c:catAx>
      <c:valAx>
        <c:axId val="2067632479"/>
        <c:scaling>
          <c:orientation val="minMax"/>
        </c:scaling>
        <c:delete val="1"/>
        <c:axPos val="l"/>
        <c:numFmt formatCode="_-[$$-409]* #,##0_ ;_-[$$-409]* \-#,##0\ ;_-[$$-409]* &quot;-&quot;??_ ;_-@_ " sourceLinked="1"/>
        <c:majorTickMark val="out"/>
        <c:minorTickMark val="none"/>
        <c:tickLblPos val="nextTo"/>
        <c:crossAx val="206762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table!PivotTable17</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Delivery Status</a:t>
            </a:r>
          </a:p>
        </c:rich>
      </c:tx>
      <c:layout>
        <c:manualLayout>
          <c:xMode val="edge"/>
          <c:yMode val="edge"/>
          <c:x val="0.30880141336984851"/>
          <c:y val="4.075864104803656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table'!$B$20</c:f>
              <c:strCache>
                <c:ptCount val="1"/>
                <c:pt idx="0">
                  <c:v>Total</c:v>
                </c:pt>
              </c:strCache>
            </c:strRef>
          </c:tx>
          <c:dPt>
            <c:idx val="0"/>
            <c:bubble3D val="0"/>
            <c:spPr>
              <a:gradFill rotWithShape="1">
                <a:gsLst>
                  <a:gs pos="0">
                    <a:schemeClr val="accent4">
                      <a:tint val="65000"/>
                      <a:satMod val="103000"/>
                      <a:lumMod val="102000"/>
                      <a:tint val="94000"/>
                    </a:schemeClr>
                  </a:gs>
                  <a:gs pos="50000">
                    <a:schemeClr val="accent4">
                      <a:tint val="65000"/>
                      <a:satMod val="110000"/>
                      <a:lumMod val="100000"/>
                      <a:shade val="100000"/>
                    </a:schemeClr>
                  </a:gs>
                  <a:gs pos="100000">
                    <a:schemeClr val="accent4">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3C-484C-908E-490747C4D36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3C-484C-908E-490747C4D361}"/>
              </c:ext>
            </c:extLst>
          </c:dPt>
          <c:dPt>
            <c:idx val="2"/>
            <c:bubble3D val="0"/>
            <c:spPr>
              <a:gradFill rotWithShape="1">
                <a:gsLst>
                  <a:gs pos="0">
                    <a:schemeClr val="accent4">
                      <a:shade val="65000"/>
                      <a:satMod val="103000"/>
                      <a:lumMod val="102000"/>
                      <a:tint val="94000"/>
                    </a:schemeClr>
                  </a:gs>
                  <a:gs pos="50000">
                    <a:schemeClr val="accent4">
                      <a:shade val="65000"/>
                      <a:satMod val="110000"/>
                      <a:lumMod val="100000"/>
                      <a:shade val="100000"/>
                    </a:schemeClr>
                  </a:gs>
                  <a:gs pos="100000">
                    <a:schemeClr val="accent4">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3C-484C-908E-490747C4D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table'!$A$21:$A$24</c:f>
              <c:strCache>
                <c:ptCount val="3"/>
                <c:pt idx="0">
                  <c:v>Cancelled</c:v>
                </c:pt>
                <c:pt idx="1">
                  <c:v>Delivered</c:v>
                </c:pt>
                <c:pt idx="2">
                  <c:v>In Transit</c:v>
                </c:pt>
              </c:strCache>
            </c:strRef>
          </c:cat>
          <c:val>
            <c:numRef>
              <c:f>'Pivot table'!$B$21:$B$24</c:f>
              <c:numCache>
                <c:formatCode>0</c:formatCode>
                <c:ptCount val="3"/>
                <c:pt idx="0">
                  <c:v>30</c:v>
                </c:pt>
                <c:pt idx="1">
                  <c:v>34</c:v>
                </c:pt>
                <c:pt idx="2">
                  <c:v>36</c:v>
                </c:pt>
              </c:numCache>
            </c:numRef>
          </c:val>
          <c:extLst>
            <c:ext xmlns:c16="http://schemas.microsoft.com/office/drawing/2014/chart" uri="{C3380CC4-5D6E-409C-BE32-E72D297353CC}">
              <c16:uniqueId val="{00000006-003C-484C-908E-490747C4D36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table!PivotTable15</c:name>
    <c:fmtId val="17"/>
  </c:pivotSource>
  <c:chart>
    <c:title>
      <c:tx>
        <c:rich>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r>
              <a:rPr lang="en-US"/>
              <a:t>Sales Amount by Product Category</a:t>
            </a:r>
          </a:p>
        </c:rich>
      </c:tx>
      <c:layout>
        <c:manualLayout>
          <c:xMode val="edge"/>
          <c:yMode val="edge"/>
          <c:x val="0.20140609036846829"/>
          <c:y val="3.9294831434949336E-2"/>
        </c:manualLayout>
      </c:layout>
      <c:overlay val="0"/>
      <c:spPr>
        <a:noFill/>
        <a:ln>
          <a:noFill/>
        </a:ln>
        <a:effectLst/>
      </c:spPr>
      <c:txPr>
        <a:bodyPr rot="0" spcFirstLastPara="1" vertOverflow="ellipsis" vert="horz" wrap="square" anchor="ctr" anchorCtr="1"/>
        <a:lstStyle/>
        <a:p>
          <a:pPr algn="ct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table'!$J$20</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chemeClr val="accent4">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table'!$I$21:$I$26</c:f>
              <c:strCache>
                <c:ptCount val="5"/>
                <c:pt idx="0">
                  <c:v>Electronics</c:v>
                </c:pt>
                <c:pt idx="1">
                  <c:v>Fashion</c:v>
                </c:pt>
                <c:pt idx="2">
                  <c:v>Home</c:v>
                </c:pt>
                <c:pt idx="3">
                  <c:v>Toys</c:v>
                </c:pt>
                <c:pt idx="4">
                  <c:v>Books</c:v>
                </c:pt>
              </c:strCache>
            </c:strRef>
          </c:cat>
          <c:val>
            <c:numRef>
              <c:f>'Pivot table'!$J$21:$J$26</c:f>
              <c:numCache>
                <c:formatCode>[$$-409]#,##0_ ;\-[$$-409]#,##0\ </c:formatCode>
                <c:ptCount val="5"/>
                <c:pt idx="0">
                  <c:v>13035</c:v>
                </c:pt>
                <c:pt idx="1">
                  <c:v>2425</c:v>
                </c:pt>
                <c:pt idx="2">
                  <c:v>8450</c:v>
                </c:pt>
                <c:pt idx="3">
                  <c:v>2989</c:v>
                </c:pt>
                <c:pt idx="4">
                  <c:v>1398</c:v>
                </c:pt>
              </c:numCache>
            </c:numRef>
          </c:val>
          <c:extLst>
            <c:ext xmlns:c16="http://schemas.microsoft.com/office/drawing/2014/chart" uri="{C3380CC4-5D6E-409C-BE32-E72D297353CC}">
              <c16:uniqueId val="{00000000-CF1D-497F-A1F5-8FF1505FFB5B}"/>
            </c:ext>
          </c:extLst>
        </c:ser>
        <c:dLbls>
          <c:showLegendKey val="0"/>
          <c:showVal val="1"/>
          <c:showCatName val="0"/>
          <c:showSerName val="0"/>
          <c:showPercent val="0"/>
          <c:showBubbleSize val="0"/>
        </c:dLbls>
        <c:gapWidth val="84"/>
        <c:gapDepth val="53"/>
        <c:shape val="box"/>
        <c:axId val="798079840"/>
        <c:axId val="798080320"/>
        <c:axId val="0"/>
      </c:bar3DChart>
      <c:catAx>
        <c:axId val="79807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8080320"/>
        <c:crosses val="autoZero"/>
        <c:auto val="1"/>
        <c:lblAlgn val="ctr"/>
        <c:lblOffset val="100"/>
        <c:noMultiLvlLbl val="0"/>
      </c:catAx>
      <c:valAx>
        <c:axId val="798080320"/>
        <c:scaling>
          <c:orientation val="minMax"/>
        </c:scaling>
        <c:delete val="1"/>
        <c:axPos val="b"/>
        <c:numFmt formatCode="[$$-409]#,##0_ ;\-[$$-409]#,##0\ " sourceLinked="1"/>
        <c:majorTickMark val="out"/>
        <c:minorTickMark val="none"/>
        <c:tickLblPos val="nextTo"/>
        <c:crossAx val="7980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table!PivotTable18</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Delivery days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table'!$A$33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c:f>
              <c:strCache>
                <c:ptCount val="1"/>
                <c:pt idx="0">
                  <c:v>Total</c:v>
                </c:pt>
              </c:strCache>
            </c:strRef>
          </c:cat>
          <c:val>
            <c:numRef>
              <c:f>'Pivot table'!$A$34</c:f>
              <c:numCache>
                <c:formatCode>0.00</c:formatCode>
                <c:ptCount val="1"/>
                <c:pt idx="0">
                  <c:v>3.7647058823529411</c:v>
                </c:pt>
              </c:numCache>
            </c:numRef>
          </c:val>
          <c:extLst>
            <c:ext xmlns:c16="http://schemas.microsoft.com/office/drawing/2014/chart" uri="{C3380CC4-5D6E-409C-BE32-E72D297353CC}">
              <c16:uniqueId val="{00000000-22FB-46BF-B4AC-4F5CF5193ECA}"/>
            </c:ext>
          </c:extLst>
        </c:ser>
        <c:dLbls>
          <c:dLblPos val="outEnd"/>
          <c:showLegendKey val="0"/>
          <c:showVal val="1"/>
          <c:showCatName val="0"/>
          <c:showSerName val="0"/>
          <c:showPercent val="0"/>
          <c:showBubbleSize val="0"/>
        </c:dLbls>
        <c:gapWidth val="100"/>
        <c:overlap val="-24"/>
        <c:axId val="1104163680"/>
        <c:axId val="1104164640"/>
      </c:barChart>
      <c:catAx>
        <c:axId val="110416368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164640"/>
        <c:crosses val="autoZero"/>
        <c:auto val="1"/>
        <c:lblAlgn val="ctr"/>
        <c:lblOffset val="100"/>
        <c:noMultiLvlLbl val="0"/>
      </c:catAx>
      <c:valAx>
        <c:axId val="110416464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16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table!PivotTable23</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Effective</a:t>
            </a:r>
            <a:r>
              <a:rPr lang="en-US" baseline="0"/>
              <a: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162325288545383E-3"/>
              <c:y val="5.1257985662966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50916883944138"/>
                  <c:h val="0.11667382880622341"/>
                </c:manualLayout>
              </c15:layout>
            </c:ext>
          </c:extLst>
        </c:dLbl>
      </c:pivotFmt>
    </c:pivotFmts>
    <c:plotArea>
      <c:layout/>
      <c:barChart>
        <c:barDir val="col"/>
        <c:grouping val="clustered"/>
        <c:varyColors val="0"/>
        <c:ser>
          <c:idx val="0"/>
          <c:order val="0"/>
          <c:tx>
            <c:strRef>
              <c:f>'Pivot table'!$A$38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25-4B76-8A1D-FCF0FFDD646A}"/>
              </c:ext>
            </c:extLst>
          </c:dPt>
          <c:dLbls>
            <c:dLbl>
              <c:idx val="0"/>
              <c:layout>
                <c:manualLayout>
                  <c:x val="3.1162325288545383E-3"/>
                  <c:y val="5.125798566296638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450916883944138"/>
                      <c:h val="0.11667382880622341"/>
                    </c:manualLayout>
                  </c15:layout>
                </c:ext>
                <c:ext xmlns:c16="http://schemas.microsoft.com/office/drawing/2014/chart" uri="{C3380CC4-5D6E-409C-BE32-E72D297353CC}">
                  <c16:uniqueId val="{00000001-4125-4B76-8A1D-FCF0FFDD64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table'!$A$39</c:f>
              <c:strCache>
                <c:ptCount val="1"/>
                <c:pt idx="0">
                  <c:v>Total</c:v>
                </c:pt>
              </c:strCache>
            </c:strRef>
          </c:cat>
          <c:val>
            <c:numRef>
              <c:f>'Pivot table'!$A$39</c:f>
              <c:numCache>
                <c:formatCode>[$$-C09]#,##0</c:formatCode>
                <c:ptCount val="1"/>
                <c:pt idx="0">
                  <c:v>13656</c:v>
                </c:pt>
              </c:numCache>
            </c:numRef>
          </c:val>
          <c:extLst>
            <c:ext xmlns:c16="http://schemas.microsoft.com/office/drawing/2014/chart" uri="{C3380CC4-5D6E-409C-BE32-E72D297353CC}">
              <c16:uniqueId val="{00000000-4125-4B76-8A1D-FCF0FFDD646A}"/>
            </c:ext>
          </c:extLst>
        </c:ser>
        <c:dLbls>
          <c:dLblPos val="inEnd"/>
          <c:showLegendKey val="0"/>
          <c:showVal val="1"/>
          <c:showCatName val="0"/>
          <c:showSerName val="0"/>
          <c:showPercent val="0"/>
          <c:showBubbleSize val="0"/>
        </c:dLbls>
        <c:gapWidth val="100"/>
        <c:overlap val="-24"/>
        <c:axId val="1375317520"/>
        <c:axId val="1375324720"/>
      </c:barChart>
      <c:catAx>
        <c:axId val="137531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324720"/>
        <c:crosses val="autoZero"/>
        <c:auto val="1"/>
        <c:lblAlgn val="ctr"/>
        <c:lblOffset val="100"/>
        <c:noMultiLvlLbl val="0"/>
      </c:catAx>
      <c:valAx>
        <c:axId val="1375324720"/>
        <c:scaling>
          <c:orientation val="minMax"/>
        </c:scaling>
        <c:delete val="0"/>
        <c:axPos val="l"/>
        <c:majorGridlines>
          <c:spPr>
            <a:ln w="9525" cap="flat" cmpd="sng" algn="ctr">
              <a:solidFill>
                <a:schemeClr val="lt1">
                  <a:lumMod val="95000"/>
                  <a:alpha val="10000"/>
                </a:schemeClr>
              </a:solidFill>
              <a:round/>
            </a:ln>
            <a:effectLst/>
          </c:spPr>
        </c:majorGridlines>
        <c:numFmt formatCode="[$$-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531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160866</xdr:rowOff>
    </xdr:from>
    <xdr:to>
      <xdr:col>13</xdr:col>
      <xdr:colOff>1032933</xdr:colOff>
      <xdr:row>27</xdr:row>
      <xdr:rowOff>110066</xdr:rowOff>
    </xdr:to>
    <xdr:sp macro="" textlink="">
      <xdr:nvSpPr>
        <xdr:cNvPr id="43" name="Rectangle: Rounded Corners 42">
          <a:extLst>
            <a:ext uri="{FF2B5EF4-FFF2-40B4-BE49-F238E27FC236}">
              <a16:creationId xmlns:a16="http://schemas.microsoft.com/office/drawing/2014/main" id="{AFBAA543-D30C-4957-88EF-2F826717EA15}"/>
            </a:ext>
          </a:extLst>
        </xdr:cNvPr>
        <xdr:cNvSpPr/>
      </xdr:nvSpPr>
      <xdr:spPr>
        <a:xfrm>
          <a:off x="0" y="347133"/>
          <a:ext cx="12970933" cy="4792133"/>
        </a:xfrm>
        <a:prstGeom prst="roundRect">
          <a:avLst>
            <a:gd name="adj" fmla="val 8199"/>
          </a:avLst>
        </a:prstGeom>
        <a:solidFill>
          <a:schemeClr val="bg1">
            <a:alpha val="8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a:solidFill>
              <a:schemeClr val="lt1"/>
            </a:solidFill>
            <a:effectLst/>
            <a:latin typeface="+mn-lt"/>
            <a:ea typeface="+mn-ea"/>
            <a:cs typeface="+mn-cs"/>
          </a:endParaRPr>
        </a:p>
      </xdr:txBody>
    </xdr:sp>
    <xdr:clientData/>
  </xdr:twoCellAnchor>
  <xdr:twoCellAnchor editAs="oneCell">
    <xdr:from>
      <xdr:col>0</xdr:col>
      <xdr:colOff>0</xdr:colOff>
      <xdr:row>20</xdr:row>
      <xdr:rowOff>126499</xdr:rowOff>
    </xdr:from>
    <xdr:to>
      <xdr:col>2</xdr:col>
      <xdr:colOff>930285</xdr:colOff>
      <xdr:row>26</xdr:row>
      <xdr:rowOff>159629</xdr:rowOff>
    </xdr:to>
    <mc:AlternateContent xmlns:mc="http://schemas.openxmlformats.org/markup-compatibility/2006" xmlns:a14="http://schemas.microsoft.com/office/drawing/2010/main">
      <mc:Choice Requires="a14">
        <xdr:graphicFrame macro="">
          <xdr:nvGraphicFramePr>
            <xdr:cNvPr id="2" name="Delivery Status">
              <a:extLst>
                <a:ext uri="{FF2B5EF4-FFF2-40B4-BE49-F238E27FC236}">
                  <a16:creationId xmlns:a16="http://schemas.microsoft.com/office/drawing/2014/main" id="{8ADC2A51-59C2-477B-A60A-14897DDD0FC2}"/>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0" y="3827642"/>
              <a:ext cx="2476056" cy="1143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418221</xdr:colOff>
      <xdr:row>11</xdr:row>
      <xdr:rowOff>8021</xdr:rowOff>
    </xdr:from>
    <xdr:to>
      <xdr:col>2</xdr:col>
      <xdr:colOff>946727</xdr:colOff>
      <xdr:row>20</xdr:row>
      <xdr:rowOff>115455</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A978C8CD-A65F-4CC2-9E41-293B4434B3D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14907" y="2043650"/>
              <a:ext cx="1377591" cy="1772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426750</xdr:colOff>
      <xdr:row>2</xdr:row>
      <xdr:rowOff>60217</xdr:rowOff>
    </xdr:from>
    <xdr:to>
      <xdr:col>2</xdr:col>
      <xdr:colOff>958273</xdr:colOff>
      <xdr:row>11</xdr:row>
      <xdr:rowOff>34635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7C45789-61D3-4CD5-B368-E7DAB1371E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3436" y="430331"/>
              <a:ext cx="1380608" cy="1639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462824</xdr:colOff>
      <xdr:row>2</xdr:row>
      <xdr:rowOff>45679</xdr:rowOff>
    </xdr:from>
    <xdr:to>
      <xdr:col>10</xdr:col>
      <xdr:colOff>484910</xdr:colOff>
      <xdr:row>14</xdr:row>
      <xdr:rowOff>80817</xdr:rowOff>
    </xdr:to>
    <xdr:graphicFrame macro="">
      <xdr:nvGraphicFramePr>
        <xdr:cNvPr id="28" name="Chart 27">
          <a:extLst>
            <a:ext uri="{FF2B5EF4-FFF2-40B4-BE49-F238E27FC236}">
              <a16:creationId xmlns:a16="http://schemas.microsoft.com/office/drawing/2014/main" id="{02F1BEEE-4333-43E3-9ECA-06518493B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474150</xdr:colOff>
      <xdr:row>14</xdr:row>
      <xdr:rowOff>25033</xdr:rowOff>
    </xdr:from>
    <xdr:to>
      <xdr:col>10</xdr:col>
      <xdr:colOff>496455</xdr:colOff>
      <xdr:row>26</xdr:row>
      <xdr:rowOff>115455</xdr:rowOff>
    </xdr:to>
    <xdr:graphicFrame macro="">
      <xdr:nvGraphicFramePr>
        <xdr:cNvPr id="29" name="Chart 28">
          <a:extLst>
            <a:ext uri="{FF2B5EF4-FFF2-40B4-BE49-F238E27FC236}">
              <a16:creationId xmlns:a16="http://schemas.microsoft.com/office/drawing/2014/main" id="{45EB8F4D-A935-4FD2-80FB-5C846C560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927376</xdr:colOff>
      <xdr:row>14</xdr:row>
      <xdr:rowOff>87491</xdr:rowOff>
    </xdr:from>
    <xdr:to>
      <xdr:col>6</xdr:col>
      <xdr:colOff>466372</xdr:colOff>
      <xdr:row>26</xdr:row>
      <xdr:rowOff>87491</xdr:rowOff>
    </xdr:to>
    <xdr:graphicFrame macro="">
      <xdr:nvGraphicFramePr>
        <xdr:cNvPr id="30" name="Chart 29">
          <a:extLst>
            <a:ext uri="{FF2B5EF4-FFF2-40B4-BE49-F238E27FC236}">
              <a16:creationId xmlns:a16="http://schemas.microsoft.com/office/drawing/2014/main" id="{806DC25D-D53E-4B74-B89A-B1C16DF77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922317</xdr:colOff>
      <xdr:row>2</xdr:row>
      <xdr:rowOff>65840</xdr:rowOff>
    </xdr:from>
    <xdr:to>
      <xdr:col>6</xdr:col>
      <xdr:colOff>453572</xdr:colOff>
      <xdr:row>14</xdr:row>
      <xdr:rowOff>112157</xdr:rowOff>
    </xdr:to>
    <xdr:graphicFrame macro="">
      <xdr:nvGraphicFramePr>
        <xdr:cNvPr id="31" name="Chart 30">
          <a:extLst>
            <a:ext uri="{FF2B5EF4-FFF2-40B4-BE49-F238E27FC236}">
              <a16:creationId xmlns:a16="http://schemas.microsoft.com/office/drawing/2014/main" id="{C2414820-FB8C-4601-8B36-CFBD08173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509497</xdr:colOff>
      <xdr:row>14</xdr:row>
      <xdr:rowOff>29474</xdr:rowOff>
    </xdr:from>
    <xdr:to>
      <xdr:col>12</xdr:col>
      <xdr:colOff>808183</xdr:colOff>
      <xdr:row>26</xdr:row>
      <xdr:rowOff>127001</xdr:rowOff>
    </xdr:to>
    <xdr:graphicFrame macro="">
      <xdr:nvGraphicFramePr>
        <xdr:cNvPr id="36" name="Chart 35">
          <a:extLst>
            <a:ext uri="{FF2B5EF4-FFF2-40B4-BE49-F238E27FC236}">
              <a16:creationId xmlns:a16="http://schemas.microsoft.com/office/drawing/2014/main" id="{C0DC1C4B-AEEE-4E53-BBD7-157CABE7B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481242</xdr:colOff>
      <xdr:row>2</xdr:row>
      <xdr:rowOff>46046</xdr:rowOff>
    </xdr:from>
    <xdr:to>
      <xdr:col>12</xdr:col>
      <xdr:colOff>785634</xdr:colOff>
      <xdr:row>14</xdr:row>
      <xdr:rowOff>34636</xdr:rowOff>
    </xdr:to>
    <xdr:graphicFrame macro="">
      <xdr:nvGraphicFramePr>
        <xdr:cNvPr id="37" name="Chart 36">
          <a:extLst>
            <a:ext uri="{FF2B5EF4-FFF2-40B4-BE49-F238E27FC236}">
              <a16:creationId xmlns:a16="http://schemas.microsoft.com/office/drawing/2014/main" id="{CDF05479-9BFB-4508-AA3C-87901BAB3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8022</xdr:colOff>
      <xdr:row>0</xdr:row>
      <xdr:rowOff>32084</xdr:rowOff>
    </xdr:from>
    <xdr:to>
      <xdr:col>5</xdr:col>
      <xdr:colOff>203898</xdr:colOff>
      <xdr:row>1</xdr:row>
      <xdr:rowOff>142520</xdr:rowOff>
    </xdr:to>
    <xdr:sp macro="" textlink="">
      <xdr:nvSpPr>
        <xdr:cNvPr id="7" name="TextBox 6">
          <a:extLst>
            <a:ext uri="{FF2B5EF4-FFF2-40B4-BE49-F238E27FC236}">
              <a16:creationId xmlns:a16="http://schemas.microsoft.com/office/drawing/2014/main" id="{5D0F8254-2F96-48D3-B16A-6417F692C5AC}"/>
            </a:ext>
          </a:extLst>
        </xdr:cNvPr>
        <xdr:cNvSpPr txBox="1"/>
      </xdr:nvSpPr>
      <xdr:spPr>
        <a:xfrm>
          <a:off x="8022" y="32084"/>
          <a:ext cx="4599434" cy="294920"/>
        </a:xfrm>
        <a:prstGeom prst="rect">
          <a:avLst/>
        </a:prstGeom>
        <a:solidFill>
          <a:schemeClr val="bg1">
            <a:alpha val="8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lt1"/>
              </a:solidFill>
              <a:effectLst/>
              <a:latin typeface="+mn-lt"/>
              <a:ea typeface="+mn-ea"/>
              <a:cs typeface="+mn-cs"/>
            </a:rPr>
            <a:t>Amazon Sales Performance Dashboard</a:t>
          </a:r>
        </a:p>
      </xdr:txBody>
    </xdr:sp>
    <xdr:clientData/>
  </xdr:twoCellAnchor>
  <xdr:twoCellAnchor editAs="oneCell">
    <xdr:from>
      <xdr:col>0</xdr:col>
      <xdr:colOff>256674</xdr:colOff>
      <xdr:row>0</xdr:row>
      <xdr:rowOff>72189</xdr:rowOff>
    </xdr:from>
    <xdr:to>
      <xdr:col>0</xdr:col>
      <xdr:colOff>476483</xdr:colOff>
      <xdr:row>1</xdr:row>
      <xdr:rowOff>101965</xdr:rowOff>
    </xdr:to>
    <xdr:pic>
      <xdr:nvPicPr>
        <xdr:cNvPr id="8" name="Picture 7">
          <a:extLst>
            <a:ext uri="{FF2B5EF4-FFF2-40B4-BE49-F238E27FC236}">
              <a16:creationId xmlns:a16="http://schemas.microsoft.com/office/drawing/2014/main" id="{C256CFB5-7569-4811-9E9A-8C88ADFFF68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6674" y="72189"/>
          <a:ext cx="219809" cy="214260"/>
        </a:xfrm>
        <a:prstGeom prst="rect">
          <a:avLst/>
        </a:prstGeom>
      </xdr:spPr>
    </xdr:pic>
    <xdr:clientData/>
  </xdr:twoCellAnchor>
  <xdr:twoCellAnchor>
    <xdr:from>
      <xdr:col>12</xdr:col>
      <xdr:colOff>900586</xdr:colOff>
      <xdr:row>2</xdr:row>
      <xdr:rowOff>27136</xdr:rowOff>
    </xdr:from>
    <xdr:to>
      <xdr:col>13</xdr:col>
      <xdr:colOff>870105</xdr:colOff>
      <xdr:row>26</xdr:row>
      <xdr:rowOff>110956</xdr:rowOff>
    </xdr:to>
    <xdr:sp macro="" textlink="">
      <xdr:nvSpPr>
        <xdr:cNvPr id="14" name="Rectangle: Rounded Corners 13">
          <a:extLst>
            <a:ext uri="{FF2B5EF4-FFF2-40B4-BE49-F238E27FC236}">
              <a16:creationId xmlns:a16="http://schemas.microsoft.com/office/drawing/2014/main" id="{D4B91664-047D-4AFD-A3D8-C75B6E0044E3}"/>
            </a:ext>
          </a:extLst>
        </xdr:cNvPr>
        <xdr:cNvSpPr/>
      </xdr:nvSpPr>
      <xdr:spPr>
        <a:xfrm>
          <a:off x="11593366" y="398843"/>
          <a:ext cx="1208544" cy="4544308"/>
        </a:xfrm>
        <a:prstGeom prst="roundRect">
          <a:avLst>
            <a:gd name="adj" fmla="val 19330"/>
          </a:avLst>
        </a:prstGeom>
        <a:solidFill>
          <a:schemeClr val="bg1">
            <a:alpha val="8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1">
            <a:solidFill>
              <a:schemeClr val="lt1"/>
            </a:solidFill>
            <a:effectLst/>
            <a:latin typeface="+mn-lt"/>
            <a:ea typeface="+mn-ea"/>
            <a:cs typeface="+mn-cs"/>
          </a:endParaRPr>
        </a:p>
      </xdr:txBody>
    </xdr:sp>
    <xdr:clientData/>
  </xdr:twoCellAnchor>
  <xdr:twoCellAnchor>
    <xdr:from>
      <xdr:col>12</xdr:col>
      <xdr:colOff>962824</xdr:colOff>
      <xdr:row>2</xdr:row>
      <xdr:rowOff>103976</xdr:rowOff>
    </xdr:from>
    <xdr:to>
      <xdr:col>13</xdr:col>
      <xdr:colOff>814138</xdr:colOff>
      <xdr:row>8</xdr:row>
      <xdr:rowOff>45646</xdr:rowOff>
    </xdr:to>
    <xdr:sp macro="" textlink="">
      <xdr:nvSpPr>
        <xdr:cNvPr id="15" name="Rectangle: Rounded Corners 14">
          <a:extLst>
            <a:ext uri="{FF2B5EF4-FFF2-40B4-BE49-F238E27FC236}">
              <a16:creationId xmlns:a16="http://schemas.microsoft.com/office/drawing/2014/main" id="{D44A791B-72D3-419A-9EA2-7480B0C9FF97}"/>
            </a:ext>
          </a:extLst>
        </xdr:cNvPr>
        <xdr:cNvSpPr/>
      </xdr:nvSpPr>
      <xdr:spPr>
        <a:xfrm>
          <a:off x="11645572" y="467770"/>
          <a:ext cx="1095095" cy="10330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967741</xdr:colOff>
      <xdr:row>8</xdr:row>
      <xdr:rowOff>99060</xdr:rowOff>
    </xdr:from>
    <xdr:to>
      <xdr:col>13</xdr:col>
      <xdr:colOff>819055</xdr:colOff>
      <xdr:row>14</xdr:row>
      <xdr:rowOff>40730</xdr:rowOff>
    </xdr:to>
    <xdr:sp macro="" textlink="">
      <xdr:nvSpPr>
        <xdr:cNvPr id="16" name="Rectangle: Rounded Corners 15">
          <a:extLst>
            <a:ext uri="{FF2B5EF4-FFF2-40B4-BE49-F238E27FC236}">
              <a16:creationId xmlns:a16="http://schemas.microsoft.com/office/drawing/2014/main" id="{C4321391-8E1B-4FCF-AB23-30465FF93D13}"/>
            </a:ext>
          </a:extLst>
        </xdr:cNvPr>
        <xdr:cNvSpPr/>
      </xdr:nvSpPr>
      <xdr:spPr>
        <a:xfrm>
          <a:off x="11650981" y="1562100"/>
          <a:ext cx="1093374" cy="10389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975361</xdr:colOff>
      <xdr:row>14</xdr:row>
      <xdr:rowOff>121920</xdr:rowOff>
    </xdr:from>
    <xdr:to>
      <xdr:col>13</xdr:col>
      <xdr:colOff>826675</xdr:colOff>
      <xdr:row>20</xdr:row>
      <xdr:rowOff>63590</xdr:rowOff>
    </xdr:to>
    <xdr:sp macro="" textlink="">
      <xdr:nvSpPr>
        <xdr:cNvPr id="17" name="Rectangle: Rounded Corners 16">
          <a:extLst>
            <a:ext uri="{FF2B5EF4-FFF2-40B4-BE49-F238E27FC236}">
              <a16:creationId xmlns:a16="http://schemas.microsoft.com/office/drawing/2014/main" id="{70BAA298-ECBB-422E-8DB4-F28995A9FEF4}"/>
            </a:ext>
          </a:extLst>
        </xdr:cNvPr>
        <xdr:cNvSpPr/>
      </xdr:nvSpPr>
      <xdr:spPr>
        <a:xfrm>
          <a:off x="11658601" y="2682240"/>
          <a:ext cx="1093374" cy="10389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960120</xdr:colOff>
      <xdr:row>20</xdr:row>
      <xdr:rowOff>114300</xdr:rowOff>
    </xdr:from>
    <xdr:to>
      <xdr:col>13</xdr:col>
      <xdr:colOff>811434</xdr:colOff>
      <xdr:row>26</xdr:row>
      <xdr:rowOff>55970</xdr:rowOff>
    </xdr:to>
    <xdr:sp macro="" textlink="">
      <xdr:nvSpPr>
        <xdr:cNvPr id="21" name="Rectangle: Rounded Corners 20">
          <a:extLst>
            <a:ext uri="{FF2B5EF4-FFF2-40B4-BE49-F238E27FC236}">
              <a16:creationId xmlns:a16="http://schemas.microsoft.com/office/drawing/2014/main" id="{5853656A-DCF8-45C1-AD0B-8D12AF684424}"/>
            </a:ext>
          </a:extLst>
        </xdr:cNvPr>
        <xdr:cNvSpPr/>
      </xdr:nvSpPr>
      <xdr:spPr>
        <a:xfrm>
          <a:off x="11643360" y="3771900"/>
          <a:ext cx="1093374" cy="103895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968133</xdr:colOff>
      <xdr:row>2</xdr:row>
      <xdr:rowOff>153786</xdr:rowOff>
    </xdr:from>
    <xdr:to>
      <xdr:col>13</xdr:col>
      <xdr:colOff>791498</xdr:colOff>
      <xdr:row>6</xdr:row>
      <xdr:rowOff>70700</xdr:rowOff>
    </xdr:to>
    <xdr:sp macro="" textlink="">
      <xdr:nvSpPr>
        <xdr:cNvPr id="23" name="TextBox 22">
          <a:extLst>
            <a:ext uri="{FF2B5EF4-FFF2-40B4-BE49-F238E27FC236}">
              <a16:creationId xmlns:a16="http://schemas.microsoft.com/office/drawing/2014/main" id="{90B0270B-2C07-406E-8576-E7747C68BBA9}"/>
            </a:ext>
          </a:extLst>
        </xdr:cNvPr>
        <xdr:cNvSpPr txBox="1"/>
      </xdr:nvSpPr>
      <xdr:spPr>
        <a:xfrm>
          <a:off x="11651844" y="515147"/>
          <a:ext cx="1064561" cy="63963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u="none">
              <a:solidFill>
                <a:schemeClr val="bg1"/>
              </a:solidFill>
              <a:effectLst/>
              <a:latin typeface="+mn-lt"/>
              <a:ea typeface="+mn-ea"/>
              <a:cs typeface="+mn-cs"/>
            </a:rPr>
            <a:t>Total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600" b="1" u="none">
              <a:solidFill>
                <a:schemeClr val="bg1"/>
              </a:solidFill>
              <a:effectLst/>
              <a:latin typeface="+mn-lt"/>
              <a:ea typeface="+mn-ea"/>
              <a:cs typeface="+mn-cs"/>
            </a:rPr>
            <a:t>Revenue</a:t>
          </a:r>
          <a:endParaRPr lang="en-US" sz="1600" u="none">
            <a:solidFill>
              <a:schemeClr val="bg1"/>
            </a:solidFill>
            <a:effectLst/>
          </a:endParaRPr>
        </a:p>
      </xdr:txBody>
    </xdr:sp>
    <xdr:clientData/>
  </xdr:twoCellAnchor>
  <xdr:twoCellAnchor>
    <xdr:from>
      <xdr:col>12</xdr:col>
      <xdr:colOff>942679</xdr:colOff>
      <xdr:row>8</xdr:row>
      <xdr:rowOff>95693</xdr:rowOff>
    </xdr:from>
    <xdr:to>
      <xdr:col>13</xdr:col>
      <xdr:colOff>911257</xdr:colOff>
      <xdr:row>12</xdr:row>
      <xdr:rowOff>54988</xdr:rowOff>
    </xdr:to>
    <xdr:sp macro="" textlink="">
      <xdr:nvSpPr>
        <xdr:cNvPr id="24" name="TextBox 23">
          <a:extLst>
            <a:ext uri="{FF2B5EF4-FFF2-40B4-BE49-F238E27FC236}">
              <a16:creationId xmlns:a16="http://schemas.microsoft.com/office/drawing/2014/main" id="{E5584378-7DB5-4642-BBA1-68E2CCE73B16}"/>
            </a:ext>
          </a:extLst>
        </xdr:cNvPr>
        <xdr:cNvSpPr txBox="1"/>
      </xdr:nvSpPr>
      <xdr:spPr>
        <a:xfrm>
          <a:off x="11626390" y="1541136"/>
          <a:ext cx="1209774" cy="682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u="none">
              <a:solidFill>
                <a:schemeClr val="bg1"/>
              </a:solidFill>
              <a:effectLst/>
              <a:latin typeface="+mn-lt"/>
              <a:ea typeface="+mn-ea"/>
              <a:cs typeface="+mn-cs"/>
            </a:rPr>
            <a:t>% </a:t>
          </a:r>
          <a:r>
            <a:rPr lang="en-IN" sz="1600" b="1" u="none">
              <a:solidFill>
                <a:schemeClr val="bg1"/>
              </a:solidFill>
              <a:effectLst/>
              <a:latin typeface="+mn-lt"/>
              <a:ea typeface="+mn-ea"/>
              <a:cs typeface="+mn-cs"/>
            </a:rPr>
            <a:t>of</a:t>
          </a:r>
          <a:r>
            <a:rPr lang="en-IN" sz="1400" b="1" u="none">
              <a:solidFill>
                <a:schemeClr val="bg1"/>
              </a:solidFill>
              <a:effectLst/>
              <a:latin typeface="+mn-lt"/>
              <a:ea typeface="+mn-ea"/>
              <a:cs typeface="+mn-cs"/>
            </a:rPr>
            <a:t> Fast Deliveries</a:t>
          </a:r>
          <a:endParaRPr lang="en-US" sz="1400" u="none">
            <a:solidFill>
              <a:schemeClr val="bg1"/>
            </a:solidFill>
            <a:effectLst/>
          </a:endParaRPr>
        </a:p>
      </xdr:txBody>
    </xdr:sp>
    <xdr:clientData/>
  </xdr:twoCellAnchor>
  <xdr:twoCellAnchor>
    <xdr:from>
      <xdr:col>12</xdr:col>
      <xdr:colOff>990723</xdr:colOff>
      <xdr:row>14</xdr:row>
      <xdr:rowOff>148244</xdr:rowOff>
    </xdr:from>
    <xdr:to>
      <xdr:col>13</xdr:col>
      <xdr:colOff>816409</xdr:colOff>
      <xdr:row>18</xdr:row>
      <xdr:rowOff>46409</xdr:rowOff>
    </xdr:to>
    <xdr:sp macro="" textlink="">
      <xdr:nvSpPr>
        <xdr:cNvPr id="25" name="TextBox 24">
          <a:extLst>
            <a:ext uri="{FF2B5EF4-FFF2-40B4-BE49-F238E27FC236}">
              <a16:creationId xmlns:a16="http://schemas.microsoft.com/office/drawing/2014/main" id="{03700E78-6D19-41DB-8944-47A570078A8C}"/>
            </a:ext>
          </a:extLst>
        </xdr:cNvPr>
        <xdr:cNvSpPr txBox="1"/>
      </xdr:nvSpPr>
      <xdr:spPr>
        <a:xfrm>
          <a:off x="11683503" y="2750195"/>
          <a:ext cx="1064711" cy="641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eaLnBrk="1" fontAlgn="auto" latinLnBrk="0" hangingPunct="1"/>
          <a:r>
            <a:rPr lang="en-IN" sz="1100" b="0" u="none">
              <a:ln>
                <a:solidFill>
                  <a:schemeClr val="bg1">
                    <a:lumMod val="95000"/>
                  </a:schemeClr>
                </a:solidFill>
              </a:ln>
              <a:solidFill>
                <a:schemeClr val="bg1"/>
              </a:solidFill>
              <a:effectLst/>
              <a:latin typeface="Candara" panose="020E0502030303020204" pitchFamily="34" charset="0"/>
              <a:ea typeface="+mn-ea"/>
              <a:cs typeface="+mn-cs"/>
            </a:rPr>
            <a:t>Highest-selling</a:t>
          </a:r>
          <a:r>
            <a:rPr lang="en-IN" sz="1100">
              <a:ln>
                <a:solidFill>
                  <a:schemeClr val="bg1">
                    <a:lumMod val="95000"/>
                  </a:schemeClr>
                </a:solidFill>
              </a:ln>
              <a:solidFill>
                <a:schemeClr val="bg1"/>
              </a:solidFill>
              <a:effectLst/>
              <a:latin typeface="Candara" panose="020E0502030303020204" pitchFamily="34" charset="0"/>
              <a:ea typeface="+mn-ea"/>
              <a:cs typeface="+mn-cs"/>
            </a:rPr>
            <a:t> </a:t>
          </a:r>
          <a:r>
            <a:rPr lang="en-IN" sz="1100" b="1" u="none">
              <a:ln>
                <a:solidFill>
                  <a:schemeClr val="bg1">
                    <a:lumMod val="95000"/>
                  </a:schemeClr>
                </a:solidFill>
              </a:ln>
              <a:solidFill>
                <a:schemeClr val="bg1"/>
              </a:solidFill>
              <a:effectLst/>
              <a:latin typeface="Candara" panose="020E0502030303020204" pitchFamily="34" charset="0"/>
              <a:ea typeface="+mn-ea"/>
              <a:cs typeface="+mn-cs"/>
            </a:rPr>
            <a:t>Product</a:t>
          </a:r>
          <a:endParaRPr lang="en-US" u="none">
            <a:ln>
              <a:solidFill>
                <a:schemeClr val="bg1">
                  <a:lumMod val="95000"/>
                </a:schemeClr>
              </a:solidFill>
            </a:ln>
            <a:solidFill>
              <a:schemeClr val="bg1"/>
            </a:solidFill>
            <a:effectLst/>
            <a:latin typeface="Candara" panose="020E0502030303020204" pitchFamily="34" charset="0"/>
          </a:endParaRPr>
        </a:p>
      </xdr:txBody>
    </xdr:sp>
    <xdr:clientData/>
  </xdr:twoCellAnchor>
  <xdr:twoCellAnchor>
    <xdr:from>
      <xdr:col>12</xdr:col>
      <xdr:colOff>889987</xdr:colOff>
      <xdr:row>19</xdr:row>
      <xdr:rowOff>181683</xdr:rowOff>
    </xdr:from>
    <xdr:to>
      <xdr:col>13</xdr:col>
      <xdr:colOff>902844</xdr:colOff>
      <xdr:row>23</xdr:row>
      <xdr:rowOff>18247</xdr:rowOff>
    </xdr:to>
    <xdr:sp macro="" textlink="">
      <xdr:nvSpPr>
        <xdr:cNvPr id="26" name="TextBox 25">
          <a:extLst>
            <a:ext uri="{FF2B5EF4-FFF2-40B4-BE49-F238E27FC236}">
              <a16:creationId xmlns:a16="http://schemas.microsoft.com/office/drawing/2014/main" id="{EE2B265D-92E2-422F-A477-64BC4BD45235}"/>
            </a:ext>
          </a:extLst>
        </xdr:cNvPr>
        <xdr:cNvSpPr txBox="1"/>
      </xdr:nvSpPr>
      <xdr:spPr>
        <a:xfrm>
          <a:off x="11582767" y="3712903"/>
          <a:ext cx="1251882" cy="579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u="none">
              <a:solidFill>
                <a:schemeClr val="bg1"/>
              </a:solidFill>
              <a:effectLst/>
              <a:latin typeface="+mn-lt"/>
              <a:ea typeface="+mn-ea"/>
              <a:cs typeface="+mn-cs"/>
            </a:rPr>
            <a:t>Top 3 Performing Regions</a:t>
          </a:r>
          <a:endParaRPr lang="en-US" sz="1100" u="none">
            <a:solidFill>
              <a:schemeClr val="bg1"/>
            </a:solidFill>
            <a:effectLst/>
          </a:endParaRPr>
        </a:p>
      </xdr:txBody>
    </xdr:sp>
    <xdr:clientData/>
  </xdr:twoCellAnchor>
  <xdr:twoCellAnchor editAs="oneCell">
    <xdr:from>
      <xdr:col>0</xdr:col>
      <xdr:colOff>0</xdr:colOff>
      <xdr:row>2</xdr:row>
      <xdr:rowOff>54989</xdr:rowOff>
    </xdr:from>
    <xdr:to>
      <xdr:col>1</xdr:col>
      <xdr:colOff>413835</xdr:colOff>
      <xdr:row>20</xdr:row>
      <xdr:rowOff>117835</xdr:rowOff>
    </xdr:to>
    <mc:AlternateContent xmlns:mc="http://schemas.openxmlformats.org/markup-compatibility/2006" xmlns:a14="http://schemas.microsoft.com/office/drawing/2010/main">
      <mc:Choice Requires="a14">
        <xdr:graphicFrame macro="">
          <xdr:nvGraphicFramePr>
            <xdr:cNvPr id="35" name="Order Month 1">
              <a:extLst>
                <a:ext uri="{FF2B5EF4-FFF2-40B4-BE49-F238E27FC236}">
                  <a16:creationId xmlns:a16="http://schemas.microsoft.com/office/drawing/2014/main" id="{F2E3A578-142D-5CCE-4DCC-2D681C9D7D5F}"/>
                </a:ext>
              </a:extLst>
            </xdr:cNvPr>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0" y="425103"/>
              <a:ext cx="1110521" cy="339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660839</xdr:colOff>
      <xdr:row>22</xdr:row>
      <xdr:rowOff>38665</xdr:rowOff>
    </xdr:from>
    <xdr:to>
      <xdr:col>13</xdr:col>
      <xdr:colOff>456591</xdr:colOff>
      <xdr:row>23</xdr:row>
      <xdr:rowOff>125079</xdr:rowOff>
    </xdr:to>
    <xdr:sp macro="" textlink="'Pivot table'!N17">
      <xdr:nvSpPr>
        <xdr:cNvPr id="38" name="TextBox 37">
          <a:extLst>
            <a:ext uri="{FF2B5EF4-FFF2-40B4-BE49-F238E27FC236}">
              <a16:creationId xmlns:a16="http://schemas.microsoft.com/office/drawing/2014/main" id="{C83E1ED3-813E-14FB-740B-DEE295997E7C}"/>
            </a:ext>
          </a:extLst>
        </xdr:cNvPr>
        <xdr:cNvSpPr txBox="1"/>
      </xdr:nvSpPr>
      <xdr:spPr>
        <a:xfrm>
          <a:off x="11354239" y="4136532"/>
          <a:ext cx="1040352" cy="272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0CB90A-862E-404E-BB3A-C8FE49695349}" type="TxLink">
            <a:rPr lang="en-US" sz="1400" b="1" i="0" u="none" strike="noStrike">
              <a:solidFill>
                <a:srgbClr val="7030A0"/>
              </a:solidFill>
              <a:latin typeface="Calibri"/>
              <a:ea typeface="Calibri"/>
              <a:cs typeface="Calibri"/>
            </a:rPr>
            <a:pPr algn="ctr"/>
            <a:t>North</a:t>
          </a:fld>
          <a:endParaRPr lang="en-US" sz="2000" b="1">
            <a:solidFill>
              <a:srgbClr val="7030A0"/>
            </a:solidFill>
            <a:latin typeface="Arial Black" panose="020B0A04020102020204" pitchFamily="34" charset="0"/>
          </a:endParaRPr>
        </a:p>
      </xdr:txBody>
    </xdr:sp>
    <xdr:clientData/>
  </xdr:twoCellAnchor>
  <xdr:twoCellAnchor>
    <xdr:from>
      <xdr:col>12</xdr:col>
      <xdr:colOff>997670</xdr:colOff>
      <xdr:row>6</xdr:row>
      <xdr:rowOff>78558</xdr:rowOff>
    </xdr:from>
    <xdr:to>
      <xdr:col>13</xdr:col>
      <xdr:colOff>793422</xdr:colOff>
      <xdr:row>7</xdr:row>
      <xdr:rowOff>164970</xdr:rowOff>
    </xdr:to>
    <xdr:sp macro="" textlink="'Pivot table'!$N$5">
      <xdr:nvSpPr>
        <xdr:cNvPr id="39" name="TextBox 38">
          <a:extLst>
            <a:ext uri="{FF2B5EF4-FFF2-40B4-BE49-F238E27FC236}">
              <a16:creationId xmlns:a16="http://schemas.microsoft.com/office/drawing/2014/main" id="{C654B49A-08C4-4C36-8D7E-934508C5CA49}"/>
            </a:ext>
          </a:extLst>
        </xdr:cNvPr>
        <xdr:cNvSpPr txBox="1"/>
      </xdr:nvSpPr>
      <xdr:spPr>
        <a:xfrm>
          <a:off x="11681381" y="1162640"/>
          <a:ext cx="1036948" cy="26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06F184-15F0-4B3B-B8F0-593EE105780B}" type="TxLink">
            <a:rPr lang="en-US" sz="2000" b="1" i="0" u="none" strike="noStrike">
              <a:solidFill>
                <a:srgbClr val="92D050"/>
              </a:solidFill>
              <a:latin typeface="Calibri"/>
              <a:ea typeface="Calibri"/>
              <a:cs typeface="Calibri"/>
            </a:rPr>
            <a:pPr algn="ctr"/>
            <a:t>$28,297</a:t>
          </a:fld>
          <a:endParaRPr lang="en-US" sz="3200" b="1">
            <a:solidFill>
              <a:srgbClr val="92D050"/>
            </a:solidFill>
            <a:latin typeface="Arial Black" panose="020B0A04020102020204" pitchFamily="34" charset="0"/>
          </a:endParaRPr>
        </a:p>
      </xdr:txBody>
    </xdr:sp>
    <xdr:clientData/>
  </xdr:twoCellAnchor>
  <xdr:twoCellAnchor>
    <xdr:from>
      <xdr:col>12</xdr:col>
      <xdr:colOff>1000813</xdr:colOff>
      <xdr:row>12</xdr:row>
      <xdr:rowOff>81699</xdr:rowOff>
    </xdr:from>
    <xdr:to>
      <xdr:col>13</xdr:col>
      <xdr:colOff>796565</xdr:colOff>
      <xdr:row>13</xdr:row>
      <xdr:rowOff>168112</xdr:rowOff>
    </xdr:to>
    <xdr:sp macro="" textlink="'Pivot table'!$N$10">
      <xdr:nvSpPr>
        <xdr:cNvPr id="40" name="TextBox 39">
          <a:extLst>
            <a:ext uri="{FF2B5EF4-FFF2-40B4-BE49-F238E27FC236}">
              <a16:creationId xmlns:a16="http://schemas.microsoft.com/office/drawing/2014/main" id="{EB2E35D5-773C-477B-8617-7863A049C66D}"/>
            </a:ext>
          </a:extLst>
        </xdr:cNvPr>
        <xdr:cNvSpPr txBox="1"/>
      </xdr:nvSpPr>
      <xdr:spPr>
        <a:xfrm>
          <a:off x="11684524" y="2249864"/>
          <a:ext cx="1036948" cy="26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F8D1E3-EC4E-4FD4-ADC7-6876FE7CE710}" type="TxLink">
            <a:rPr lang="en-US" sz="1600" b="1" i="0" u="none" strike="noStrike">
              <a:solidFill>
                <a:srgbClr val="92D050"/>
              </a:solidFill>
              <a:latin typeface="Arial Black" panose="020B0A04020102020204" pitchFamily="34" charset="0"/>
              <a:ea typeface="Calibri"/>
              <a:cs typeface="Calibri"/>
            </a:rPr>
            <a:pPr algn="ctr"/>
            <a:t>32.35%</a:t>
          </a:fld>
          <a:endParaRPr lang="en-US" sz="1600" b="1">
            <a:solidFill>
              <a:srgbClr val="92D050"/>
            </a:solidFill>
            <a:latin typeface="Arial Black" panose="020B0A04020102020204" pitchFamily="34" charset="0"/>
          </a:endParaRPr>
        </a:p>
      </xdr:txBody>
    </xdr:sp>
    <xdr:clientData/>
  </xdr:twoCellAnchor>
  <xdr:twoCellAnchor>
    <xdr:from>
      <xdr:col>12</xdr:col>
      <xdr:colOff>1027522</xdr:colOff>
      <xdr:row>18</xdr:row>
      <xdr:rowOff>108409</xdr:rowOff>
    </xdr:from>
    <xdr:to>
      <xdr:col>13</xdr:col>
      <xdr:colOff>823274</xdr:colOff>
      <xdr:row>20</xdr:row>
      <xdr:rowOff>14141</xdr:rowOff>
    </xdr:to>
    <xdr:sp macro="" textlink="">
      <xdr:nvSpPr>
        <xdr:cNvPr id="41" name="TextBox 40">
          <a:extLst>
            <a:ext uri="{FF2B5EF4-FFF2-40B4-BE49-F238E27FC236}">
              <a16:creationId xmlns:a16="http://schemas.microsoft.com/office/drawing/2014/main" id="{A95001CD-80F6-42DE-BB5B-460D8FA91523}"/>
            </a:ext>
          </a:extLst>
        </xdr:cNvPr>
        <xdr:cNvSpPr txBox="1"/>
      </xdr:nvSpPr>
      <xdr:spPr>
        <a:xfrm>
          <a:off x="11711233" y="3360656"/>
          <a:ext cx="1036948" cy="267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92D050"/>
              </a:solidFill>
              <a:latin typeface="Arial Black" panose="020B0A04020102020204" pitchFamily="34" charset="0"/>
              <a:ea typeface="Calibri"/>
              <a:cs typeface="Calibri"/>
            </a:rPr>
            <a:t>28.57%</a:t>
          </a:r>
        </a:p>
      </xdr:txBody>
    </xdr:sp>
    <xdr:clientData/>
  </xdr:twoCellAnchor>
  <xdr:twoCellAnchor>
    <xdr:from>
      <xdr:col>12</xdr:col>
      <xdr:colOff>939147</xdr:colOff>
      <xdr:row>15</xdr:row>
      <xdr:rowOff>67403</xdr:rowOff>
    </xdr:from>
    <xdr:to>
      <xdr:col>13</xdr:col>
      <xdr:colOff>891095</xdr:colOff>
      <xdr:row>19</xdr:row>
      <xdr:rowOff>67813</xdr:rowOff>
    </xdr:to>
    <xdr:sp macro="" textlink="'Pivot table'!N28">
      <xdr:nvSpPr>
        <xdr:cNvPr id="42" name="TextBox 41">
          <a:extLst>
            <a:ext uri="{FF2B5EF4-FFF2-40B4-BE49-F238E27FC236}">
              <a16:creationId xmlns:a16="http://schemas.microsoft.com/office/drawing/2014/main" id="{B8938357-C0C2-4792-8D05-79CB702209CC}"/>
            </a:ext>
          </a:extLst>
        </xdr:cNvPr>
        <xdr:cNvSpPr txBox="1"/>
      </xdr:nvSpPr>
      <xdr:spPr>
        <a:xfrm>
          <a:off x="11631927" y="2855208"/>
          <a:ext cx="1190973" cy="74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EFE5BE-4A4E-465C-96D3-2F6BFC005A56}" type="TxLink">
            <a:rPr lang="en-US" sz="1400" b="1" i="0" u="none" strike="noStrike">
              <a:solidFill>
                <a:srgbClr val="7030A0"/>
              </a:solidFill>
              <a:latin typeface="Calibri"/>
              <a:ea typeface="Calibri"/>
              <a:cs typeface="Calibri"/>
            </a:rPr>
            <a:pPr algn="ctr"/>
            <a:t>Smartphone</a:t>
          </a:fld>
          <a:endParaRPr lang="en-US" sz="2000" b="1" i="0" u="none" strike="noStrike">
            <a:solidFill>
              <a:srgbClr val="7030A0"/>
            </a:solidFill>
            <a:latin typeface="Arial Black" panose="020B0A04020102020204" pitchFamily="34" charset="0"/>
            <a:ea typeface="Calibri"/>
            <a:cs typeface="Calibri"/>
          </a:endParaRPr>
        </a:p>
      </xdr:txBody>
    </xdr:sp>
    <xdr:clientData/>
  </xdr:twoCellAnchor>
  <xdr:twoCellAnchor>
    <xdr:from>
      <xdr:col>12</xdr:col>
      <xdr:colOff>652372</xdr:colOff>
      <xdr:row>23</xdr:row>
      <xdr:rowOff>72534</xdr:rowOff>
    </xdr:from>
    <xdr:to>
      <xdr:col>13</xdr:col>
      <xdr:colOff>448124</xdr:colOff>
      <xdr:row>24</xdr:row>
      <xdr:rowOff>158947</xdr:rowOff>
    </xdr:to>
    <xdr:sp macro="" textlink="'Pivot table'!N18">
      <xdr:nvSpPr>
        <xdr:cNvPr id="44" name="TextBox 43">
          <a:extLst>
            <a:ext uri="{FF2B5EF4-FFF2-40B4-BE49-F238E27FC236}">
              <a16:creationId xmlns:a16="http://schemas.microsoft.com/office/drawing/2014/main" id="{742EC7B4-C268-4B67-B32A-EF1F1FF3B75E}"/>
            </a:ext>
          </a:extLst>
        </xdr:cNvPr>
        <xdr:cNvSpPr txBox="1"/>
      </xdr:nvSpPr>
      <xdr:spPr>
        <a:xfrm>
          <a:off x="11345772" y="4356667"/>
          <a:ext cx="1040352" cy="272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465551-206D-405F-9633-EB934058BBAC}" type="TxLink">
            <a:rPr lang="en-US" sz="1400" b="1" i="0" u="none" strike="noStrike">
              <a:solidFill>
                <a:srgbClr val="7030A0"/>
              </a:solidFill>
              <a:latin typeface="Calibri"/>
              <a:ea typeface="Calibri"/>
              <a:cs typeface="Calibri"/>
            </a:rPr>
            <a:pPr algn="ctr"/>
            <a:t>West</a:t>
          </a:fld>
          <a:endParaRPr lang="en-US" sz="2000" b="1">
            <a:solidFill>
              <a:srgbClr val="7030A0"/>
            </a:solidFill>
            <a:latin typeface="Arial Black" panose="020B0A04020102020204" pitchFamily="34" charset="0"/>
          </a:endParaRPr>
        </a:p>
      </xdr:txBody>
    </xdr:sp>
    <xdr:clientData/>
  </xdr:twoCellAnchor>
  <xdr:twoCellAnchor>
    <xdr:from>
      <xdr:col>12</xdr:col>
      <xdr:colOff>686238</xdr:colOff>
      <xdr:row>24</xdr:row>
      <xdr:rowOff>106398</xdr:rowOff>
    </xdr:from>
    <xdr:to>
      <xdr:col>13</xdr:col>
      <xdr:colOff>481990</xdr:colOff>
      <xdr:row>26</xdr:row>
      <xdr:rowOff>6545</xdr:rowOff>
    </xdr:to>
    <xdr:sp macro="" textlink="'Pivot table'!N19">
      <xdr:nvSpPr>
        <xdr:cNvPr id="45" name="TextBox 44">
          <a:extLst>
            <a:ext uri="{FF2B5EF4-FFF2-40B4-BE49-F238E27FC236}">
              <a16:creationId xmlns:a16="http://schemas.microsoft.com/office/drawing/2014/main" id="{1E2AB95F-0FB0-4928-92F9-BB3CE4D4516B}"/>
            </a:ext>
          </a:extLst>
        </xdr:cNvPr>
        <xdr:cNvSpPr txBox="1"/>
      </xdr:nvSpPr>
      <xdr:spPr>
        <a:xfrm>
          <a:off x="11379638" y="4576798"/>
          <a:ext cx="1040352" cy="272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F375F-85C0-43F6-8FB6-5AAC189EF7C0}" type="TxLink">
            <a:rPr lang="en-US" sz="1400" b="1" i="0" u="none" strike="noStrike">
              <a:solidFill>
                <a:srgbClr val="7030A0"/>
              </a:solidFill>
              <a:latin typeface="Calibri"/>
              <a:ea typeface="Calibri"/>
              <a:cs typeface="Calibri"/>
            </a:rPr>
            <a:pPr algn="ctr"/>
            <a:t>South</a:t>
          </a:fld>
          <a:endParaRPr lang="en-US" sz="2000" b="1">
            <a:solidFill>
              <a:srgbClr val="7030A0"/>
            </a:solidFill>
            <a:latin typeface="Arial Black" panose="020B0A04020102020204" pitchFamily="34" charset="0"/>
          </a:endParaRPr>
        </a:p>
      </xdr:txBody>
    </xdr:sp>
    <xdr:clientData/>
  </xdr:twoCellAnchor>
  <xdr:twoCellAnchor>
    <xdr:from>
      <xdr:col>13</xdr:col>
      <xdr:colOff>115914</xdr:colOff>
      <xdr:row>22</xdr:row>
      <xdr:rowOff>70442</xdr:rowOff>
    </xdr:from>
    <xdr:to>
      <xdr:col>13</xdr:col>
      <xdr:colOff>889000</xdr:colOff>
      <xdr:row>23</xdr:row>
      <xdr:rowOff>118536</xdr:rowOff>
    </xdr:to>
    <xdr:sp macro="" textlink="'Pivot table'!$O$17">
      <xdr:nvSpPr>
        <xdr:cNvPr id="46" name="TextBox 45">
          <a:extLst>
            <a:ext uri="{FF2B5EF4-FFF2-40B4-BE49-F238E27FC236}">
              <a16:creationId xmlns:a16="http://schemas.microsoft.com/office/drawing/2014/main" id="{7CF5F87E-0C06-4432-B780-1A02C91775C1}"/>
            </a:ext>
          </a:extLst>
        </xdr:cNvPr>
        <xdr:cNvSpPr txBox="1"/>
      </xdr:nvSpPr>
      <xdr:spPr>
        <a:xfrm>
          <a:off x="12053914" y="4168309"/>
          <a:ext cx="773086" cy="23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21789D-B932-4D44-B81E-DD60BB2D0B40}" type="TxLink">
            <a:rPr lang="en-US" sz="1600" b="1" i="0" u="none" strike="noStrike">
              <a:solidFill>
                <a:srgbClr val="92D050"/>
              </a:solidFill>
              <a:latin typeface="Calibri"/>
              <a:ea typeface="Calibri"/>
              <a:cs typeface="Calibri"/>
            </a:rPr>
            <a:pPr algn="ctr"/>
            <a:t>$7,030</a:t>
          </a:fld>
          <a:endParaRPr lang="en-US" sz="2400" b="1">
            <a:solidFill>
              <a:srgbClr val="92D050"/>
            </a:solidFill>
            <a:latin typeface="Arial Black" panose="020B0A04020102020204" pitchFamily="34" charset="0"/>
          </a:endParaRPr>
        </a:p>
      </xdr:txBody>
    </xdr:sp>
    <xdr:clientData/>
  </xdr:twoCellAnchor>
  <xdr:twoCellAnchor>
    <xdr:from>
      <xdr:col>13</xdr:col>
      <xdr:colOff>107449</xdr:colOff>
      <xdr:row>23</xdr:row>
      <xdr:rowOff>104308</xdr:rowOff>
    </xdr:from>
    <xdr:to>
      <xdr:col>13</xdr:col>
      <xdr:colOff>880535</xdr:colOff>
      <xdr:row>24</xdr:row>
      <xdr:rowOff>152401</xdr:rowOff>
    </xdr:to>
    <xdr:sp macro="" textlink="'Pivot table'!$O$18">
      <xdr:nvSpPr>
        <xdr:cNvPr id="47" name="TextBox 46">
          <a:extLst>
            <a:ext uri="{FF2B5EF4-FFF2-40B4-BE49-F238E27FC236}">
              <a16:creationId xmlns:a16="http://schemas.microsoft.com/office/drawing/2014/main" id="{593F4A9F-18FC-47DD-BEF8-BA4F409F6EF5}"/>
            </a:ext>
          </a:extLst>
        </xdr:cNvPr>
        <xdr:cNvSpPr txBox="1"/>
      </xdr:nvSpPr>
      <xdr:spPr>
        <a:xfrm>
          <a:off x="12045449" y="4388441"/>
          <a:ext cx="773086" cy="23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A10A55-5AD5-43A9-BFE5-2808DB30275E}" type="TxLink">
            <a:rPr lang="en-US" sz="1600" b="1" i="0" u="none" strike="noStrike">
              <a:solidFill>
                <a:srgbClr val="92D050"/>
              </a:solidFill>
              <a:latin typeface="Calibri"/>
              <a:ea typeface="Calibri"/>
              <a:cs typeface="Calibri"/>
            </a:rPr>
            <a:pPr algn="ctr"/>
            <a:t>$6,921</a:t>
          </a:fld>
          <a:endParaRPr lang="en-US" sz="1800" b="1">
            <a:solidFill>
              <a:srgbClr val="92D050"/>
            </a:solidFill>
            <a:latin typeface="Arial Black" panose="020B0A04020102020204" pitchFamily="34" charset="0"/>
          </a:endParaRPr>
        </a:p>
      </xdr:txBody>
    </xdr:sp>
    <xdr:clientData/>
  </xdr:twoCellAnchor>
  <xdr:twoCellAnchor>
    <xdr:from>
      <xdr:col>13</xdr:col>
      <xdr:colOff>90514</xdr:colOff>
      <xdr:row>24</xdr:row>
      <xdr:rowOff>129708</xdr:rowOff>
    </xdr:from>
    <xdr:to>
      <xdr:col>13</xdr:col>
      <xdr:colOff>863600</xdr:colOff>
      <xdr:row>25</xdr:row>
      <xdr:rowOff>177801</xdr:rowOff>
    </xdr:to>
    <xdr:sp macro="" textlink="'Pivot table'!$O$17">
      <xdr:nvSpPr>
        <xdr:cNvPr id="48" name="TextBox 47">
          <a:extLst>
            <a:ext uri="{FF2B5EF4-FFF2-40B4-BE49-F238E27FC236}">
              <a16:creationId xmlns:a16="http://schemas.microsoft.com/office/drawing/2014/main" id="{622885B6-78E5-4DE9-8F18-139AABAD55D2}"/>
            </a:ext>
          </a:extLst>
        </xdr:cNvPr>
        <xdr:cNvSpPr txBox="1"/>
      </xdr:nvSpPr>
      <xdr:spPr>
        <a:xfrm>
          <a:off x="12028514" y="4600108"/>
          <a:ext cx="773086" cy="23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80E46B-36AA-434E-B0B1-20549631DC8E}" type="TxLink">
            <a:rPr lang="en-US" sz="1600" b="1" i="0" u="none" strike="noStrike">
              <a:solidFill>
                <a:srgbClr val="92D050"/>
              </a:solidFill>
              <a:latin typeface="Calibri"/>
              <a:ea typeface="Calibri"/>
              <a:cs typeface="Calibri"/>
            </a:rPr>
            <a:pPr algn="ctr"/>
            <a:t>$7,030</a:t>
          </a:fld>
          <a:endParaRPr lang="en-US" sz="1800" b="1">
            <a:solidFill>
              <a:srgbClr val="92D050"/>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414617</xdr:colOff>
      <xdr:row>16</xdr:row>
      <xdr:rowOff>145676</xdr:rowOff>
    </xdr:from>
    <xdr:to>
      <xdr:col>32</xdr:col>
      <xdr:colOff>224117</xdr:colOff>
      <xdr:row>32</xdr:row>
      <xdr:rowOff>268940</xdr:rowOff>
    </xdr:to>
    <xdr:sp macro="" textlink="">
      <xdr:nvSpPr>
        <xdr:cNvPr id="5" name="Rectangle: Diagonal Corners Rounded 4">
          <a:extLst>
            <a:ext uri="{FF2B5EF4-FFF2-40B4-BE49-F238E27FC236}">
              <a16:creationId xmlns:a16="http://schemas.microsoft.com/office/drawing/2014/main" id="{EA2CEE0E-310E-2691-9B45-C64FB2365FDC}"/>
            </a:ext>
          </a:extLst>
        </xdr:cNvPr>
        <xdr:cNvSpPr/>
      </xdr:nvSpPr>
      <xdr:spPr>
        <a:xfrm>
          <a:off x="1019735" y="4448735"/>
          <a:ext cx="18568147" cy="4426323"/>
        </a:xfrm>
        <a:prstGeom prst="round2Diag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3</xdr:col>
      <xdr:colOff>33618</xdr:colOff>
      <xdr:row>17</xdr:row>
      <xdr:rowOff>224118</xdr:rowOff>
    </xdr:from>
    <xdr:to>
      <xdr:col>29</xdr:col>
      <xdr:colOff>302559</xdr:colOff>
      <xdr:row>32</xdr:row>
      <xdr:rowOff>56029</xdr:rowOff>
    </xdr:to>
    <xdr:sp macro="" textlink="">
      <xdr:nvSpPr>
        <xdr:cNvPr id="4" name="TextBox 3">
          <a:extLst>
            <a:ext uri="{FF2B5EF4-FFF2-40B4-BE49-F238E27FC236}">
              <a16:creationId xmlns:a16="http://schemas.microsoft.com/office/drawing/2014/main" id="{84A63851-2E73-7EAF-7F3C-E0B528DFF7CC}"/>
            </a:ext>
          </a:extLst>
        </xdr:cNvPr>
        <xdr:cNvSpPr txBox="1"/>
      </xdr:nvSpPr>
      <xdr:spPr>
        <a:xfrm>
          <a:off x="1848971" y="4796118"/>
          <a:ext cx="16002000" cy="3866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rPr>
            <a:t>Electronics generated the highest revenue, making it the most successful product category during the analysis period.</a:t>
          </a:r>
        </a:p>
        <a:p>
          <a:endParaRPr lang="en-US" sz="2000" b="0">
            <a:solidFill>
              <a:schemeClr val="bg1"/>
            </a:solidFill>
          </a:endParaRPr>
        </a:p>
        <a:p>
          <a:r>
            <a:rPr lang="en-US" sz="2000" b="0">
              <a:solidFill>
                <a:schemeClr val="bg1"/>
              </a:solidFill>
            </a:rPr>
            <a:t>The North region had the highest order cancellation rate, indicating operational or customer service issues that need attention.</a:t>
          </a:r>
        </a:p>
        <a:p>
          <a:endParaRPr lang="en-US" sz="2000" b="0">
            <a:solidFill>
              <a:schemeClr val="bg1"/>
            </a:solidFill>
          </a:endParaRPr>
        </a:p>
        <a:p>
          <a:r>
            <a:rPr lang="en-US" sz="2000" b="0">
              <a:solidFill>
                <a:schemeClr val="bg1"/>
              </a:solidFill>
            </a:rPr>
            <a:t>A total of 11 orders were delivered within 2 days, showing the company can achieve fast delivery in some cases.</a:t>
          </a:r>
        </a:p>
        <a:p>
          <a:endParaRPr lang="en-US" sz="2000" b="0">
            <a:solidFill>
              <a:schemeClr val="bg1"/>
            </a:solidFill>
          </a:endParaRPr>
        </a:p>
        <a:p>
          <a:r>
            <a:rPr lang="en-US" sz="2000" b="0">
              <a:solidFill>
                <a:schemeClr val="bg1"/>
              </a:solidFill>
            </a:rPr>
            <a:t>XLOOKUP simplified cross-sheet data retrieval, improving accuracy, reducing errors, and making the analysis faster.</a:t>
          </a:r>
        </a:p>
        <a:p>
          <a:endParaRPr lang="en-US" sz="2000" b="0">
            <a:solidFill>
              <a:schemeClr val="bg1"/>
            </a:solidFill>
          </a:endParaRPr>
        </a:p>
        <a:p>
          <a:r>
            <a:rPr lang="en-US" sz="2000" b="0">
              <a:solidFill>
                <a:schemeClr val="bg1"/>
              </a:solidFill>
            </a:rPr>
            <a:t>The company should improve delivery speed in the North and Central regions, especially since the Central region showed slower performance. Additionally, customers in the Central region prefer PayPal and credit cards over debit cards, which should be considered while optimizing the order process</a:t>
          </a:r>
        </a:p>
        <a:p>
          <a:endParaRPr lang="en-US" sz="2000" b="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yan.c%20(MINI%20PROJECT%20DATASET)%20-%20WEEK%2003(AutoRecovere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 bawankule" refreshedDate="46074.51289907407" createdVersion="8" refreshedVersion="8" minRefreshableVersion="3" recordCount="100" xr:uid="{5C842889-6B39-45C4-869B-E1BBD5264A8D}">
  <cacheSource type="worksheet">
    <worksheetSource name="tbl_sale"/>
  </cacheSource>
  <cacheFields count="24">
    <cacheField name="Order ID"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Order Month" numFmtId="14">
      <sharedItems count="12">
        <s v="Dec"/>
        <s v="Feb"/>
        <s v="Oct"/>
        <s v="May"/>
        <s v="Nov"/>
        <s v="Aug"/>
        <s v="Apr"/>
        <s v="Jul"/>
        <s v="Jun"/>
        <s v="Jan"/>
        <s v="Mar"/>
        <s v="Sep"/>
      </sharedItems>
    </cacheField>
    <cacheField name="Delivery Status" numFmtId="14">
      <sharedItems count="3">
        <s v="Cancelled"/>
        <s v="Delivered"/>
        <s v="In Transit"/>
      </sharedItems>
    </cacheField>
    <cacheField name="Customer ID" numFmtId="0">
      <sharedItems/>
    </cacheField>
    <cacheField name="Product ID" numFmtId="0">
      <sharedItems/>
    </cacheField>
    <cacheField name="Region" numFmtId="0">
      <sharedItems containsBlank="1" count="7">
        <s v="North"/>
        <s v="East"/>
        <s v="South"/>
        <s v="Central"/>
        <s v="West"/>
        <m u="1"/>
        <s v="Formula1" f="1"/>
      </sharedItems>
    </cacheField>
    <cacheField name="Sale Price/Unit" numFmtId="165">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5">
      <sharedItems containsSemiMixedTypes="0" containsString="0" containsNumber="1" containsInteger="1" minValue="21" maxValue="3260"/>
    </cacheField>
    <cacheField name="Payment Method" numFmtId="0">
      <sharedItems containsBlank="1" count="6">
        <s v="Apple Pay"/>
        <s v="Credit Card"/>
        <s v="PayPal"/>
        <s v="Amazon Pay"/>
        <s v="Debit Card"/>
        <m u="1"/>
      </sharedItems>
    </cacheField>
    <cacheField name="Fulfillment Partner" numFmtId="0">
      <sharedItems/>
    </cacheField>
    <cacheField name="Coustmer Name" numFmtId="0">
      <sharedItems/>
    </cacheField>
    <cacheField name="Product Name" numFmtId="0">
      <sharedItems/>
    </cacheField>
    <cacheField name="Product Category" numFmtId="0">
      <sharedItems/>
    </cacheField>
    <cacheField name="Delivery Performance" numFmtId="0">
      <sharedItems/>
    </cacheField>
    <cacheField name="Regional Target" numFmtId="0">
      <sharedItems containsSemiMixedTypes="0" containsString="0" containsNumber="1" containsInteger="1" minValue="50500" maxValue="105000"/>
    </cacheField>
    <cacheField name="Column1" numFmtId="0">
      <sharedItems/>
    </cacheField>
    <cacheField name="Cancellation Count" numFmtId="0">
      <sharedItems containsSemiMixedTypes="0" containsString="0" containsNumber="1" containsInteger="1" minValue="0" maxValue="1"/>
    </cacheField>
    <cacheField name="Oder Count" numFmtId="0">
      <sharedItems containsSemiMixedTypes="0" containsString="0" containsNumber="1" containsInteger="1" minValue="1" maxValue="1"/>
    </cacheField>
    <cacheField name="Fat Delivery" numFmtId="0">
      <sharedItems containsSemiMixedTypes="0" containsString="0" containsNumber="1" containsInteger="1" minValue="0" maxValue="1"/>
    </cacheField>
    <cacheField name="Deliverd" numFmtId="0">
      <sharedItems containsSemiMixedTypes="0" containsString="0" containsNumber="1" containsInteger="1" minValue="0" maxValue="1"/>
    </cacheField>
  </cacheFields>
  <calculatedItems count="1">
    <calculatedItem>
      <pivotArea cacheIndex="1" outline="0" fieldPosition="0">
        <references count="1">
          <reference field="8" count="1">
            <x v="6"/>
          </reference>
        </references>
      </pivotArea>
    </calculatedItem>
  </calculatedItems>
  <extLst>
    <ext xmlns:x14="http://schemas.microsoft.com/office/spreadsheetml/2009/9/main" uri="{725AE2AE-9491-48be-B2B4-4EB974FC3084}">
      <x14:pivotCacheDefinition pivotCacheId="20026277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gan bawankule" refreshedDate="46074.512899884263" createdVersion="8" refreshedVersion="8" minRefreshableVersion="3" recordCount="100" xr:uid="{7FFEF692-0F8D-4200-BCC0-AB241689ED89}">
  <cacheSource type="worksheet">
    <worksheetSource name="Table4" r:id="rId2"/>
  </cacheSource>
  <cacheFields count="31">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3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Order Month" numFmtId="14">
      <sharedItems count="12">
        <s v="Dec"/>
        <s v="Feb"/>
        <s v="Oct"/>
        <s v="May"/>
        <s v="Nov"/>
        <s v="Aug"/>
        <s v="Apr"/>
        <s v="Jul"/>
        <s v="Jun"/>
        <s v="Jan"/>
        <s v="Mar"/>
        <s v="Sep"/>
      </sharedItems>
    </cacheField>
    <cacheField name="Cleaned Delivery Status" numFmtId="0">
      <sharedItems count="3">
        <s v="Cancelled"/>
        <s v="Delivered"/>
        <s v="In Transit"/>
      </sharedItems>
    </cacheField>
    <cacheField name="Customer ID" numFmtId="0">
      <sharedItems/>
    </cacheField>
    <cacheField name="Customer Name" numFmtId="0">
      <sharedItems/>
    </cacheField>
    <cacheField name="Product ID" numFmtId="0">
      <sharedItems/>
    </cacheField>
    <cacheField name="Region" numFmtId="0">
      <sharedItems count="5">
        <s v="North"/>
        <s v="East"/>
        <s v="South"/>
        <s v="Central"/>
        <s v="West"/>
      </sharedItems>
    </cacheField>
    <cacheField name="Sale Price/Unit" numFmtId="166">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166">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Category" numFmtId="0">
      <sharedItems count="6">
        <s v="Home"/>
        <s v="Toys"/>
        <s v="Fashion"/>
        <s v="Electronics"/>
        <s v="Books"/>
        <s v="Not Available" u="1"/>
      </sharedItems>
    </cacheField>
    <cacheField name="Product Names"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Delivery Days" numFmtId="2">
      <sharedItems containsMixedTypes="1" containsNumber="1" containsInteger="1" minValue="1" maxValue="7"/>
    </cacheField>
    <cacheField name="Delivery Performance" numFmtId="0">
      <sharedItems/>
    </cacheField>
    <cacheField name="Total Delivered Amount" numFmtId="167">
      <sharedItems containsSemiMixedTypes="0" containsString="0" containsNumber="1" containsInteger="1" minValue="0" maxValue="3260"/>
    </cacheField>
    <cacheField name="Cancellation Count" numFmtId="0">
      <sharedItems containsSemiMixedTypes="0" containsString="0" containsNumber="1" containsInteger="1" minValue="0" maxValue="1"/>
    </cacheField>
    <cacheField name="Order Count" numFmtId="0">
      <sharedItems containsSemiMixedTypes="0" containsString="0" containsNumber="1" containsInteger="1" minValue="1" maxValue="1"/>
    </cacheField>
    <cacheField name="Fast Delivered" numFmtId="0">
      <sharedItems containsSemiMixedTypes="0" containsString="0" containsNumber="1" containsInteger="1" minValue="0" maxValue="1"/>
    </cacheField>
    <cacheField name="Delivered" numFmtId="0">
      <sharedItems containsSemiMixedTypes="0" containsString="0" containsNumber="1" containsInteger="1" minValue="0" maxValue="1"/>
    </cacheField>
    <cacheField name="Cancellation Rate2" numFmtId="0" formula="'Cleaned Delivery Status'/'Order ID'" databaseField="0"/>
    <cacheField name="Effective Sales" numFmtId="0" formula="'Total Delivered Amount'" databaseField="0"/>
    <cacheField name="Effective Sales 2" numFmtId="0" formula="'Total Delivered Amount'" databaseField="0"/>
    <cacheField name="Cancellation Rate by Region " numFmtId="0" formula="'Cancellation Count'/'Order Count'" databaseField="0"/>
    <cacheField name="Field1" numFmtId="0" formula="'Fast Delivered'/Delivered" databaseField="0"/>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75220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d v="2023-12-31T00:00:00"/>
    <m/>
    <d v="2024-01-02T00:00:00"/>
    <x v="0"/>
    <x v="0"/>
    <s v="CUST021"/>
    <s v="PROD012"/>
    <x v="0"/>
    <n v="44"/>
    <n v="1"/>
    <n v="44"/>
    <x v="0"/>
    <s v="DHL"/>
    <s v="Zoe Mitchell"/>
    <s v="Lamp"/>
    <s v="Home"/>
    <s v="Pending"/>
    <n v="105000"/>
    <s v="Individual"/>
    <n v="1"/>
    <n v="1"/>
    <n v="0"/>
    <n v="0"/>
  </r>
  <r>
    <s v="ORD0002"/>
    <d v="2023-02-22T00:00:00"/>
    <d v="2023-02-24T00:00:00"/>
    <m/>
    <x v="1"/>
    <x v="1"/>
    <s v="CUST029"/>
    <s v="PROD018"/>
    <x v="1"/>
    <n v="96"/>
    <n v="4"/>
    <n v="384"/>
    <x v="1"/>
    <s v="DHL"/>
    <s v="Ava White"/>
    <s v="Doll House"/>
    <s v="Toys"/>
    <s v="Fast"/>
    <n v="50500"/>
    <s v="Individual"/>
    <n v="0"/>
    <n v="1"/>
    <n v="1"/>
    <n v="1"/>
  </r>
  <r>
    <s v="ORD0003"/>
    <d v="2023-10-11T00:00:00"/>
    <m/>
    <m/>
    <x v="2"/>
    <x v="2"/>
    <s v="CUST021"/>
    <s v="PROD013"/>
    <x v="2"/>
    <n v="194"/>
    <n v="4"/>
    <n v="776"/>
    <x v="1"/>
    <s v="USPS"/>
    <s v="Zoe Mitchell"/>
    <s v="Vacuum Cleaner"/>
    <s v="Home"/>
    <s v="Pending"/>
    <n v="91500"/>
    <s v="Individual"/>
    <n v="0"/>
    <n v="1"/>
    <n v="0"/>
    <n v="0"/>
  </r>
  <r>
    <s v="ORD0004"/>
    <d v="2023-05-05T00:00:00"/>
    <m/>
    <d v="2023-05-11T00:00:00"/>
    <x v="3"/>
    <x v="0"/>
    <s v="CUST044"/>
    <s v="PROD013"/>
    <x v="0"/>
    <n v="196"/>
    <n v="3"/>
    <n v="588"/>
    <x v="2"/>
    <s v="UPS"/>
    <s v="Grace Ward"/>
    <s v="Vacuum Cleaner"/>
    <s v="Home"/>
    <s v="Pending"/>
    <n v="105000"/>
    <s v="Business"/>
    <n v="1"/>
    <n v="1"/>
    <n v="0"/>
    <n v="0"/>
  </r>
  <r>
    <s v="ORD0005"/>
    <d v="2023-02-02T00:00:00"/>
    <d v="2023-02-05T00:00:00"/>
    <m/>
    <x v="1"/>
    <x v="1"/>
    <s v="CUST027"/>
    <s v="PROD010"/>
    <x v="0"/>
    <n v="59"/>
    <n v="1"/>
    <n v="59"/>
    <x v="2"/>
    <s v="Amazon Logistics"/>
    <s v="Hazel Brooks"/>
    <s v="Jeans"/>
    <s v="Fashion"/>
    <s v="Slow"/>
    <n v="105000"/>
    <s v="Individual"/>
    <n v="0"/>
    <n v="1"/>
    <n v="0"/>
    <n v="1"/>
  </r>
  <r>
    <s v="ORD0006"/>
    <d v="2023-11-01T00:00:00"/>
    <m/>
    <d v="2023-11-02T00:00:00"/>
    <x v="4"/>
    <x v="0"/>
    <s v="CUST009"/>
    <s v="PROD010"/>
    <x v="0"/>
    <n v="58"/>
    <n v="4"/>
    <n v="232"/>
    <x v="3"/>
    <s v="DHL"/>
    <s v="Jackson Allen"/>
    <s v="Jeans"/>
    <s v="Fashion"/>
    <s v="Pending"/>
    <n v="105000"/>
    <s v="Business"/>
    <n v="1"/>
    <n v="1"/>
    <n v="0"/>
    <n v="0"/>
  </r>
  <r>
    <s v="ORD0007"/>
    <d v="2023-08-14T00:00:00"/>
    <m/>
    <d v="2023-08-18T00:00:00"/>
    <x v="5"/>
    <x v="0"/>
    <s v="CUST042"/>
    <s v="PROD020"/>
    <x v="3"/>
    <n v="105"/>
    <n v="3"/>
    <n v="315"/>
    <x v="4"/>
    <s v="DHL"/>
    <s v="Noah Wilson"/>
    <s v="Bluetooth Speaker"/>
    <s v="Electronics"/>
    <s v="Pending"/>
    <n v="97500"/>
    <s v="Prime"/>
    <n v="1"/>
    <n v="1"/>
    <n v="0"/>
    <n v="0"/>
  </r>
  <r>
    <s v="ORD0008"/>
    <d v="2023-04-01T00:00:00"/>
    <m/>
    <d v="2023-04-06T00:00:00"/>
    <x v="6"/>
    <x v="0"/>
    <s v="CUST019"/>
    <s v="PROD021"/>
    <x v="4"/>
    <n v="37"/>
    <n v="5"/>
    <n v="185"/>
    <x v="2"/>
    <s v="DHL"/>
    <s v="Ava Robinson"/>
    <s v="Wall Clock"/>
    <s v="Home"/>
    <s v="Pending"/>
    <n v="90750"/>
    <s v="Prime"/>
    <n v="1"/>
    <n v="1"/>
    <n v="0"/>
    <n v="0"/>
  </r>
  <r>
    <s v="ORD0009"/>
    <d v="2023-07-21T00:00:00"/>
    <m/>
    <m/>
    <x v="7"/>
    <x v="2"/>
    <s v="CUST013"/>
    <s v="PROD019"/>
    <x v="3"/>
    <n v="44"/>
    <n v="2"/>
    <n v="88"/>
    <x v="1"/>
    <s v="Amazon Logistics"/>
    <s v="Olivia Martinez"/>
    <s v="Formal Shirt"/>
    <s v="Fashion"/>
    <s v="Pending"/>
    <n v="97500"/>
    <s v="Prime"/>
    <n v="0"/>
    <n v="1"/>
    <n v="0"/>
    <n v="0"/>
  </r>
  <r>
    <s v="ORD0010"/>
    <d v="2023-12-29T00:00:00"/>
    <m/>
    <m/>
    <x v="0"/>
    <x v="2"/>
    <s v="CUST019"/>
    <s v="PROD003"/>
    <x v="2"/>
    <n v="141"/>
    <n v="4"/>
    <n v="564"/>
    <x v="4"/>
    <s v="DHL"/>
    <s v="Ava Robinson"/>
    <s v="Cookware Set"/>
    <s v="Home"/>
    <s v="Pending"/>
    <n v="91500"/>
    <s v="Prime"/>
    <n v="0"/>
    <n v="1"/>
    <n v="0"/>
    <n v="0"/>
  </r>
  <r>
    <s v="ORD0011"/>
    <d v="2023-05-04T00:00:00"/>
    <m/>
    <d v="2023-05-08T00:00:00"/>
    <x v="3"/>
    <x v="0"/>
    <s v="CUST046"/>
    <s v="PROD014"/>
    <x v="2"/>
    <n v="249"/>
    <n v="1"/>
    <n v="249"/>
    <x v="3"/>
    <s v="USPS"/>
    <s v="Emily Johnson"/>
    <s v="Smartwatch"/>
    <s v="Electronics"/>
    <s v="Pending"/>
    <n v="91500"/>
    <s v="Prime"/>
    <n v="1"/>
    <n v="1"/>
    <n v="0"/>
    <n v="0"/>
  </r>
  <r>
    <s v="ORD0012"/>
    <d v="2023-07-25T00:00:00"/>
    <m/>
    <m/>
    <x v="7"/>
    <x v="2"/>
    <s v="CUST045"/>
    <s v="PROD014"/>
    <x v="3"/>
    <n v="247"/>
    <n v="3"/>
    <n v="741"/>
    <x v="3"/>
    <s v="FedEx"/>
    <s v="Emily Johnson"/>
    <s v="Smartwatch"/>
    <s v="Electronics"/>
    <s v="Pending"/>
    <n v="97500"/>
    <s v="Individual"/>
    <n v="0"/>
    <n v="1"/>
    <n v="0"/>
    <n v="0"/>
  </r>
  <r>
    <s v="ORD0013"/>
    <d v="2023-02-25T00:00:00"/>
    <m/>
    <d v="2023-02-28T00:00:00"/>
    <x v="1"/>
    <x v="0"/>
    <s v="CUST023"/>
    <s v="PROD006"/>
    <x v="3"/>
    <n v="96"/>
    <n v="1"/>
    <n v="96"/>
    <x v="0"/>
    <s v="Amazon Logistics"/>
    <s v="Charlotte Reed"/>
    <s v="Shoes"/>
    <s v="Fashion"/>
    <s v="Pending"/>
    <n v="97500"/>
    <s v="Individual"/>
    <n v="1"/>
    <n v="1"/>
    <n v="0"/>
    <n v="0"/>
  </r>
  <r>
    <s v="ORD0014"/>
    <d v="2023-02-24T00:00:00"/>
    <m/>
    <d v="2023-02-25T00:00:00"/>
    <x v="1"/>
    <x v="0"/>
    <s v="CUST033"/>
    <s v="PROD017"/>
    <x v="4"/>
    <n v="74"/>
    <n v="5"/>
    <n v="370"/>
    <x v="0"/>
    <s v="Amazon Logistics"/>
    <s v="Hazel Rivera"/>
    <s v="Gaming Mouse"/>
    <s v="Electronics"/>
    <s v="Pending"/>
    <n v="90750"/>
    <s v="Business"/>
    <n v="1"/>
    <n v="1"/>
    <n v="0"/>
    <n v="0"/>
  </r>
  <r>
    <s v="ORD0015"/>
    <d v="2023-08-26T00:00:00"/>
    <m/>
    <d v="2023-09-02T00:00:00"/>
    <x v="5"/>
    <x v="0"/>
    <s v="CUST033"/>
    <s v="PROD005"/>
    <x v="2"/>
    <n v="27"/>
    <n v="1"/>
    <n v="27"/>
    <x v="1"/>
    <s v="Amazon Logistics"/>
    <s v="Hazel Rivera"/>
    <s v="T-Shirt"/>
    <s v="Fashion"/>
    <s v="Pending"/>
    <n v="91500"/>
    <s v="Business"/>
    <n v="1"/>
    <n v="1"/>
    <n v="0"/>
    <n v="0"/>
  </r>
  <r>
    <s v="ORD0016"/>
    <d v="2023-02-13T00:00:00"/>
    <m/>
    <m/>
    <x v="1"/>
    <x v="2"/>
    <s v="CUST047"/>
    <s v="PROD005"/>
    <x v="2"/>
    <n v="27"/>
    <n v="3"/>
    <n v="81"/>
    <x v="4"/>
    <s v="Amazon Logistics"/>
    <s v="Scarlett Murphy"/>
    <s v="T-Shirt"/>
    <s v="Fashion"/>
    <s v="Pending"/>
    <n v="91500"/>
    <s v="Individual"/>
    <n v="0"/>
    <n v="1"/>
    <n v="0"/>
    <n v="0"/>
  </r>
  <r>
    <s v="ORD0017"/>
    <d v="2023-06-28T00:00:00"/>
    <d v="2023-07-01T00:00:00"/>
    <m/>
    <x v="8"/>
    <x v="1"/>
    <s v="CUST045"/>
    <s v="PROD015"/>
    <x v="1"/>
    <n v="21"/>
    <n v="3"/>
    <n v="63"/>
    <x v="1"/>
    <s v="DHL"/>
    <s v="Emily Johnson"/>
    <s v="Novel"/>
    <s v="Books"/>
    <s v="Slow"/>
    <n v="50500"/>
    <s v="Individual"/>
    <n v="0"/>
    <n v="1"/>
    <n v="0"/>
    <n v="1"/>
  </r>
  <r>
    <s v="ORD0018"/>
    <d v="2023-11-28T00:00:00"/>
    <m/>
    <m/>
    <x v="4"/>
    <x v="2"/>
    <s v="CUST011"/>
    <s v="PROD008"/>
    <x v="4"/>
    <n v="70"/>
    <n v="5"/>
    <n v="350"/>
    <x v="2"/>
    <s v="Amazon Logistics"/>
    <s v="Mason Hall"/>
    <s v="Textbook"/>
    <s v="Books"/>
    <s v="Pending"/>
    <n v="90750"/>
    <s v="Business"/>
    <n v="0"/>
    <n v="1"/>
    <n v="0"/>
    <n v="0"/>
  </r>
  <r>
    <s v="ORD0019"/>
    <d v="2023-08-25T00:00:00"/>
    <m/>
    <m/>
    <x v="5"/>
    <x v="2"/>
    <s v="CUST041"/>
    <s v="PROD006"/>
    <x v="2"/>
    <n v="94"/>
    <n v="4"/>
    <n v="376"/>
    <x v="1"/>
    <s v="USPS"/>
    <s v="Jacob Price"/>
    <s v="Shoes"/>
    <s v="Fashion"/>
    <s v="Pending"/>
    <n v="91500"/>
    <s v="Business"/>
    <n v="0"/>
    <n v="1"/>
    <n v="0"/>
    <n v="0"/>
  </r>
  <r>
    <s v="ORD0020"/>
    <d v="2023-04-12T00:00:00"/>
    <m/>
    <m/>
    <x v="6"/>
    <x v="2"/>
    <s v="CUST025"/>
    <s v="PROD001"/>
    <x v="0"/>
    <n v="813"/>
    <n v="2"/>
    <n v="1626"/>
    <x v="1"/>
    <s v="FedEx"/>
    <s v="Emma King"/>
    <s v="Smartphone"/>
    <s v="Electronics"/>
    <s v="Pending"/>
    <n v="105000"/>
    <s v="Individual"/>
    <n v="0"/>
    <n v="1"/>
    <n v="0"/>
    <n v="0"/>
  </r>
  <r>
    <s v="ORD0021"/>
    <d v="2023-10-02T00:00:00"/>
    <m/>
    <m/>
    <x v="2"/>
    <x v="2"/>
    <s v="CUST013"/>
    <s v="PROD015"/>
    <x v="3"/>
    <n v="21"/>
    <n v="4"/>
    <n v="84"/>
    <x v="2"/>
    <s v="Amazon Logistics"/>
    <s v="Olivia Martinez"/>
    <s v="Novel"/>
    <s v="Books"/>
    <s v="Pending"/>
    <n v="97500"/>
    <s v="Prime"/>
    <n v="0"/>
    <n v="1"/>
    <n v="0"/>
    <n v="0"/>
  </r>
  <r>
    <s v="ORD0022"/>
    <d v="2023-11-09T00:00:00"/>
    <m/>
    <m/>
    <x v="4"/>
    <x v="2"/>
    <s v="CUST023"/>
    <s v="PROD012"/>
    <x v="4"/>
    <n v="46"/>
    <n v="5"/>
    <n v="230"/>
    <x v="2"/>
    <s v="USPS"/>
    <s v="Charlotte Reed"/>
    <s v="Lamp"/>
    <s v="Home"/>
    <s v="Pending"/>
    <n v="90750"/>
    <s v="Individual"/>
    <n v="0"/>
    <n v="1"/>
    <n v="0"/>
    <n v="0"/>
  </r>
  <r>
    <s v="ORD0023"/>
    <d v="2023-02-13T00:00:00"/>
    <m/>
    <d v="2023-02-14T00:00:00"/>
    <x v="1"/>
    <x v="0"/>
    <s v="CUST016"/>
    <s v="PROD010"/>
    <x v="4"/>
    <n v="58"/>
    <n v="3"/>
    <n v="174"/>
    <x v="3"/>
    <s v="Amazon Logistics"/>
    <s v="Elijah Lewis"/>
    <s v="Jeans"/>
    <s v="Fashion"/>
    <s v="Pending"/>
    <n v="90750"/>
    <s v="Prime"/>
    <n v="1"/>
    <n v="1"/>
    <n v="0"/>
    <n v="0"/>
  </r>
  <r>
    <s v="ORD0024"/>
    <d v="2023-11-02T00:00:00"/>
    <d v="2023-11-05T00:00:00"/>
    <m/>
    <x v="4"/>
    <x v="1"/>
    <s v="CUST028"/>
    <s v="PROD006"/>
    <x v="4"/>
    <n v="96"/>
    <n v="5"/>
    <n v="480"/>
    <x v="3"/>
    <s v="Amazon Logistics"/>
    <s v="Lily Bennett"/>
    <s v="Shoes"/>
    <s v="Fashion"/>
    <s v="Slow"/>
    <n v="90750"/>
    <s v="Business"/>
    <n v="0"/>
    <n v="1"/>
    <n v="0"/>
    <n v="1"/>
  </r>
  <r>
    <s v="ORD0025"/>
    <d v="2023-05-28T00:00:00"/>
    <d v="2023-05-30T00:00:00"/>
    <m/>
    <x v="3"/>
    <x v="1"/>
    <s v="CUST040"/>
    <s v="PROD002"/>
    <x v="2"/>
    <n v="43"/>
    <n v="1"/>
    <n v="43"/>
    <x v="4"/>
    <s v="Amazon Logistics"/>
    <s v="Benjamin Clark"/>
    <s v="Action Figure"/>
    <s v="Toys"/>
    <s v="Fast"/>
    <n v="91500"/>
    <s v="Prime"/>
    <n v="0"/>
    <n v="1"/>
    <n v="1"/>
    <n v="1"/>
  </r>
  <r>
    <s v="ORD0026"/>
    <d v="2023-10-15T00:00:00"/>
    <d v="2023-10-21T00:00:00"/>
    <m/>
    <x v="2"/>
    <x v="1"/>
    <s v="CUST027"/>
    <s v="PROD022"/>
    <x v="2"/>
    <n v="64"/>
    <n v="4"/>
    <n v="256"/>
    <x v="4"/>
    <s v="USPS"/>
    <s v="Hazel Brooks"/>
    <s v="Backpack"/>
    <s v="Fashion"/>
    <s v="Slow"/>
    <n v="91500"/>
    <s v="Individual"/>
    <n v="0"/>
    <n v="1"/>
    <n v="0"/>
    <n v="1"/>
  </r>
  <r>
    <s v="ORD0027"/>
    <d v="2023-01-16T00:00:00"/>
    <m/>
    <m/>
    <x v="9"/>
    <x v="2"/>
    <s v="CUST018"/>
    <s v="PROD008"/>
    <x v="2"/>
    <n v="70"/>
    <n v="2"/>
    <n v="140"/>
    <x v="3"/>
    <s v="Amazon Logistics"/>
    <s v="Grace Scott"/>
    <s v="Textbook"/>
    <s v="Books"/>
    <s v="Pending"/>
    <n v="91500"/>
    <s v="Individual"/>
    <n v="0"/>
    <n v="1"/>
    <n v="0"/>
    <n v="0"/>
  </r>
  <r>
    <s v="ORD0028"/>
    <d v="2023-10-09T00:00:00"/>
    <m/>
    <m/>
    <x v="2"/>
    <x v="2"/>
    <s v="CUST018"/>
    <s v="PROD018"/>
    <x v="3"/>
    <n v="97"/>
    <n v="3"/>
    <n v="291"/>
    <x v="1"/>
    <s v="Amazon Logistics"/>
    <s v="Grace Scott"/>
    <s v="Doll House"/>
    <s v="Toys"/>
    <s v="Pending"/>
    <n v="97500"/>
    <s v="Individual"/>
    <n v="0"/>
    <n v="1"/>
    <n v="0"/>
    <n v="0"/>
  </r>
  <r>
    <s v="ORD0029"/>
    <d v="2023-10-07T00:00:00"/>
    <m/>
    <d v="2023-10-10T00:00:00"/>
    <x v="2"/>
    <x v="0"/>
    <s v="CUST007"/>
    <s v="PROD021"/>
    <x v="1"/>
    <n v="37"/>
    <n v="3"/>
    <n v="111"/>
    <x v="0"/>
    <s v="DHL"/>
    <s v="Liam Walker"/>
    <s v="Wall Clock"/>
    <s v="Home"/>
    <s v="Pending"/>
    <n v="50500"/>
    <s v="Prime"/>
    <n v="1"/>
    <n v="1"/>
    <n v="0"/>
    <n v="0"/>
  </r>
  <r>
    <s v="ORD0030"/>
    <d v="2023-02-14T00:00:00"/>
    <m/>
    <m/>
    <x v="1"/>
    <x v="2"/>
    <s v="CUST008"/>
    <s v="PROD008"/>
    <x v="0"/>
    <n v="69"/>
    <n v="5"/>
    <n v="345"/>
    <x v="3"/>
    <s v="Amazon Logistics"/>
    <s v="Harper Young"/>
    <s v="Textbook"/>
    <s v="Books"/>
    <s v="Pending"/>
    <n v="105000"/>
    <s v="Business"/>
    <n v="0"/>
    <n v="1"/>
    <n v="0"/>
    <n v="0"/>
  </r>
  <r>
    <s v="ORD0031"/>
    <d v="2023-03-26T00:00:00"/>
    <m/>
    <m/>
    <x v="10"/>
    <x v="2"/>
    <s v="CUST014"/>
    <s v="PROD002"/>
    <x v="0"/>
    <n v="42"/>
    <n v="5"/>
    <n v="210"/>
    <x v="3"/>
    <s v="UPS"/>
    <s v="Harper Young"/>
    <s v="Action Figure"/>
    <s v="Toys"/>
    <s v="Pending"/>
    <n v="105000"/>
    <s v="Individual"/>
    <n v="0"/>
    <n v="1"/>
    <n v="0"/>
    <n v="0"/>
  </r>
  <r>
    <s v="ORD0032"/>
    <d v="2023-06-15T00:00:00"/>
    <m/>
    <d v="2023-06-22T00:00:00"/>
    <x v="8"/>
    <x v="0"/>
    <s v="CUST037"/>
    <s v="PROD009"/>
    <x v="1"/>
    <n v="11"/>
    <n v="5"/>
    <n v="55"/>
    <x v="4"/>
    <s v="FedEx"/>
    <s v="Emily Johnson"/>
    <s v="Magazine"/>
    <s v="Books"/>
    <s v="Pending"/>
    <n v="50500"/>
    <s v="Individual"/>
    <n v="1"/>
    <n v="1"/>
    <n v="0"/>
    <n v="0"/>
  </r>
  <r>
    <s v="ORD0033"/>
    <d v="2023-05-22T00:00:00"/>
    <d v="2023-05-23T00:00:00"/>
    <m/>
    <x v="3"/>
    <x v="1"/>
    <s v="CUST016"/>
    <s v="PROD005"/>
    <x v="2"/>
    <n v="27"/>
    <n v="2"/>
    <n v="54"/>
    <x v="0"/>
    <s v="USPS"/>
    <s v="Elijah Lewis"/>
    <s v="T-Shirt"/>
    <s v="Fashion"/>
    <s v="Fast"/>
    <n v="91500"/>
    <s v="Prime"/>
    <n v="0"/>
    <n v="1"/>
    <n v="1"/>
    <n v="1"/>
  </r>
  <r>
    <s v="ORD0034"/>
    <d v="2023-11-20T00:00:00"/>
    <m/>
    <m/>
    <x v="4"/>
    <x v="2"/>
    <s v="CUST025"/>
    <s v="PROD015"/>
    <x v="2"/>
    <n v="21"/>
    <n v="1"/>
    <n v="21"/>
    <x v="3"/>
    <s v="DHL"/>
    <s v="Emma King"/>
    <s v="Novel"/>
    <s v="Books"/>
    <s v="Pending"/>
    <n v="91500"/>
    <s v="Individual"/>
    <n v="0"/>
    <n v="1"/>
    <n v="0"/>
    <n v="0"/>
  </r>
  <r>
    <s v="ORD0035"/>
    <d v="2023-12-22T00:00:00"/>
    <d v="2023-12-26T00:00:00"/>
    <m/>
    <x v="0"/>
    <x v="1"/>
    <s v="CUST032"/>
    <s v="PROD011"/>
    <x v="2"/>
    <n v="172"/>
    <n v="1"/>
    <n v="172"/>
    <x v="2"/>
    <s v="USPS"/>
    <s v="Luke Gray"/>
    <s v="Headphones"/>
    <s v="Electronics"/>
    <s v="Slow"/>
    <n v="91500"/>
    <s v="Business"/>
    <n v="0"/>
    <n v="1"/>
    <n v="0"/>
    <n v="1"/>
  </r>
  <r>
    <s v="ORD0036"/>
    <d v="2023-07-23T00:00:00"/>
    <m/>
    <m/>
    <x v="7"/>
    <x v="2"/>
    <s v="CUST014"/>
    <s v="PROD016"/>
    <x v="0"/>
    <n v="212"/>
    <n v="3"/>
    <n v="636"/>
    <x v="3"/>
    <s v="UPS"/>
    <s v="Harper Young"/>
    <s v="Cookware Set Pro"/>
    <s v="Home"/>
    <s v="Pending"/>
    <n v="105000"/>
    <s v="Individual"/>
    <n v="0"/>
    <n v="1"/>
    <n v="0"/>
    <n v="0"/>
  </r>
  <r>
    <s v="ORD0037"/>
    <d v="2023-10-17T00:00:00"/>
    <d v="2023-10-22T00:00:00"/>
    <m/>
    <x v="2"/>
    <x v="1"/>
    <s v="CUST044"/>
    <s v="PROD002"/>
    <x v="1"/>
    <n v="41"/>
    <n v="4"/>
    <n v="164"/>
    <x v="1"/>
    <s v="Amazon Logistics"/>
    <s v="Grace Ward"/>
    <s v="Action Figure"/>
    <s v="Toys"/>
    <s v="Slow"/>
    <n v="50500"/>
    <s v="Business"/>
    <n v="0"/>
    <n v="1"/>
    <n v="0"/>
    <n v="1"/>
  </r>
  <r>
    <s v="ORD0038"/>
    <d v="2023-08-22T00:00:00"/>
    <m/>
    <d v="2023-08-24T00:00:00"/>
    <x v="5"/>
    <x v="0"/>
    <s v="CUST028"/>
    <s v="PROD007"/>
    <x v="0"/>
    <n v="32"/>
    <n v="2"/>
    <n v="64"/>
    <x v="4"/>
    <s v="FedEx"/>
    <s v="Lily Bennett"/>
    <s v="Puzzle"/>
    <s v="Toys"/>
    <s v="Pending"/>
    <n v="105000"/>
    <s v="Business"/>
    <n v="1"/>
    <n v="1"/>
    <n v="0"/>
    <n v="0"/>
  </r>
  <r>
    <s v="ORD0039"/>
    <d v="2023-12-02T00:00:00"/>
    <m/>
    <m/>
    <x v="0"/>
    <x v="2"/>
    <s v="CUST024"/>
    <s v="PROD022"/>
    <x v="1"/>
    <n v="66"/>
    <n v="2"/>
    <n v="132"/>
    <x v="0"/>
    <s v="DHL"/>
    <s v="Scarlett Murphy"/>
    <s v="Backpack"/>
    <s v="Fashion"/>
    <s v="Pending"/>
    <n v="50500"/>
    <s v="Business"/>
    <n v="0"/>
    <n v="1"/>
    <n v="0"/>
    <n v="0"/>
  </r>
  <r>
    <s v="ORD0040"/>
    <d v="2023-12-25T00:00:00"/>
    <m/>
    <m/>
    <x v="0"/>
    <x v="2"/>
    <s v="CUST006"/>
    <s v="PROD004"/>
    <x v="1"/>
    <n v="62"/>
    <n v="4"/>
    <n v="248"/>
    <x v="4"/>
    <s v="UPS"/>
    <s v="Ava Robinson"/>
    <s v="Leg Set"/>
    <s v="Toys"/>
    <s v="Pending"/>
    <n v="50500"/>
    <s v="Prime"/>
    <n v="0"/>
    <n v="1"/>
    <n v="0"/>
    <n v="0"/>
  </r>
  <r>
    <s v="ORD0041"/>
    <d v="2023-09-23T00:00:00"/>
    <d v="2023-09-30T00:00:00"/>
    <m/>
    <x v="11"/>
    <x v="1"/>
    <s v="CUST001"/>
    <s v="PROD011"/>
    <x v="4"/>
    <n v="173"/>
    <n v="4"/>
    <n v="692"/>
    <x v="0"/>
    <s v="UPS"/>
    <s v="James Miller"/>
    <s v="Headphones"/>
    <s v="Electronics"/>
    <s v="Slow"/>
    <n v="90750"/>
    <s v="Business"/>
    <n v="0"/>
    <n v="1"/>
    <n v="0"/>
    <n v="1"/>
  </r>
  <r>
    <s v="ORD0042"/>
    <d v="2023-07-16T00:00:00"/>
    <d v="2023-07-18T00:00:00"/>
    <m/>
    <x v="7"/>
    <x v="1"/>
    <s v="CUST007"/>
    <s v="PROD004"/>
    <x v="4"/>
    <n v="63"/>
    <n v="3"/>
    <n v="189"/>
    <x v="0"/>
    <s v="UPS"/>
    <s v="Liam Walker"/>
    <s v="Leg Set"/>
    <s v="Toys"/>
    <s v="Fast"/>
    <n v="90750"/>
    <s v="Prime"/>
    <n v="0"/>
    <n v="1"/>
    <n v="1"/>
    <n v="1"/>
  </r>
  <r>
    <s v="ORD0043"/>
    <d v="2023-02-05T00:00:00"/>
    <m/>
    <d v="2023-02-11T00:00:00"/>
    <x v="1"/>
    <x v="0"/>
    <s v="CUST040"/>
    <s v="PROD021"/>
    <x v="4"/>
    <n v="36"/>
    <n v="3"/>
    <n v="108"/>
    <x v="4"/>
    <s v="USPS"/>
    <s v="Benjamin Clark"/>
    <s v="Wall Clock"/>
    <s v="Home"/>
    <s v="Pending"/>
    <n v="90750"/>
    <s v="Prime"/>
    <n v="1"/>
    <n v="1"/>
    <n v="0"/>
    <n v="0"/>
  </r>
  <r>
    <s v="ORD0044"/>
    <d v="2023-12-18T00:00:00"/>
    <m/>
    <d v="2023-12-23T00:00:00"/>
    <x v="0"/>
    <x v="0"/>
    <s v="CUST006"/>
    <s v="PROD004"/>
    <x v="3"/>
    <n v="62"/>
    <n v="1"/>
    <n v="62"/>
    <x v="0"/>
    <s v="Amazon Logistics"/>
    <s v="Ava Robinson"/>
    <s v="Leg Set"/>
    <s v="Toys"/>
    <s v="Pending"/>
    <n v="97500"/>
    <s v="Prime"/>
    <n v="1"/>
    <n v="1"/>
    <n v="0"/>
    <n v="0"/>
  </r>
  <r>
    <s v="ORD0045"/>
    <d v="2023-06-11T00:00:00"/>
    <m/>
    <d v="2023-06-14T00:00:00"/>
    <x v="8"/>
    <x v="0"/>
    <s v="CUST042"/>
    <s v="PROD003"/>
    <x v="3"/>
    <n v="137"/>
    <n v="5"/>
    <n v="685"/>
    <x v="3"/>
    <s v="FedEx"/>
    <s v="Noah Wilson"/>
    <s v="Cookware Set"/>
    <s v="Home"/>
    <s v="Pending"/>
    <n v="97500"/>
    <s v="Prime"/>
    <n v="1"/>
    <n v="1"/>
    <n v="0"/>
    <n v="0"/>
  </r>
  <r>
    <s v="ORD0046"/>
    <d v="2023-12-04T00:00:00"/>
    <d v="2023-12-08T00:00:00"/>
    <m/>
    <x v="0"/>
    <x v="1"/>
    <s v="CUST039"/>
    <s v="PROD017"/>
    <x v="0"/>
    <n v="73"/>
    <n v="4"/>
    <n v="292"/>
    <x v="1"/>
    <s v="Amazon Logistics"/>
    <s v="Logan Ramirez"/>
    <s v="Gaming Mouse"/>
    <s v="Electronics"/>
    <s v="Slow"/>
    <n v="105000"/>
    <s v="Individual"/>
    <n v="0"/>
    <n v="1"/>
    <n v="0"/>
    <n v="1"/>
  </r>
  <r>
    <s v="ORD0047"/>
    <d v="2023-07-17T00:00:00"/>
    <d v="2023-07-19T00:00:00"/>
    <m/>
    <x v="7"/>
    <x v="1"/>
    <s v="CUST041"/>
    <s v="PROD020"/>
    <x v="0"/>
    <n v="104"/>
    <n v="1"/>
    <n v="104"/>
    <x v="2"/>
    <s v="Amazon Logistics"/>
    <s v="Jacob Price"/>
    <s v="Bluetooth Speaker"/>
    <s v="Electronics"/>
    <s v="Fast"/>
    <n v="105000"/>
    <s v="Business"/>
    <n v="0"/>
    <n v="1"/>
    <n v="1"/>
    <n v="1"/>
  </r>
  <r>
    <s v="ORD0048"/>
    <d v="2023-10-19T00:00:00"/>
    <d v="2023-10-24T00:00:00"/>
    <m/>
    <x v="2"/>
    <x v="1"/>
    <s v="CUST044"/>
    <s v="PROD006"/>
    <x v="1"/>
    <n v="97"/>
    <n v="1"/>
    <n v="97"/>
    <x v="3"/>
    <s v="FedEx"/>
    <s v="Grace Ward"/>
    <s v="Shoes"/>
    <s v="Fashion"/>
    <s v="Slow"/>
    <n v="50500"/>
    <s v="Business"/>
    <n v="0"/>
    <n v="1"/>
    <n v="0"/>
    <n v="1"/>
  </r>
  <r>
    <s v="ORD0049"/>
    <d v="2023-05-15T00:00:00"/>
    <m/>
    <m/>
    <x v="3"/>
    <x v="2"/>
    <s v="CUST026"/>
    <s v="PROD017"/>
    <x v="2"/>
    <n v="73"/>
    <n v="5"/>
    <n v="365"/>
    <x v="0"/>
    <s v="Amazon Logistics"/>
    <s v="Zoe Mitchell"/>
    <s v="Gaming Mouse"/>
    <s v="Electronics"/>
    <s v="Pending"/>
    <n v="91500"/>
    <s v="Individual"/>
    <n v="0"/>
    <n v="1"/>
    <n v="0"/>
    <n v="0"/>
  </r>
  <r>
    <s v="ORD0050"/>
    <d v="2023-02-12T00:00:00"/>
    <d v="2023-02-19T00:00:00"/>
    <m/>
    <x v="1"/>
    <x v="1"/>
    <s v="CUST040"/>
    <s v="PROD005"/>
    <x v="1"/>
    <n v="27"/>
    <n v="3"/>
    <n v="81"/>
    <x v="3"/>
    <s v="UPS"/>
    <s v="Benjamin Clark"/>
    <s v="T-Shirt"/>
    <s v="Fashion"/>
    <s v="Slow"/>
    <n v="50500"/>
    <s v="Prime"/>
    <n v="0"/>
    <n v="1"/>
    <n v="0"/>
    <n v="1"/>
  </r>
  <r>
    <s v="ORD0051"/>
    <d v="2023-10-02T00:00:00"/>
    <m/>
    <m/>
    <x v="2"/>
    <x v="2"/>
    <s v="CUST041"/>
    <s v="PROD021"/>
    <x v="0"/>
    <n v="37"/>
    <n v="1"/>
    <n v="37"/>
    <x v="0"/>
    <s v="UPS"/>
    <s v="Jacob Price"/>
    <s v="Wall Clock"/>
    <s v="Home"/>
    <s v="Pending"/>
    <n v="105000"/>
    <s v="Business"/>
    <n v="0"/>
    <n v="1"/>
    <n v="0"/>
    <n v="0"/>
  </r>
  <r>
    <s v="ORD0052"/>
    <d v="2023-01-30T00:00:00"/>
    <d v="2023-02-01T00:00:00"/>
    <m/>
    <x v="9"/>
    <x v="1"/>
    <s v="CUST008"/>
    <s v="PROD015"/>
    <x v="0"/>
    <n v="22"/>
    <n v="1"/>
    <n v="22"/>
    <x v="4"/>
    <s v="FedEx"/>
    <s v="Harper Young"/>
    <s v="Novel"/>
    <s v="Books"/>
    <s v="Fast"/>
    <n v="105000"/>
    <s v="Business"/>
    <n v="0"/>
    <n v="1"/>
    <n v="1"/>
    <n v="1"/>
  </r>
  <r>
    <s v="ORD0053"/>
    <d v="2023-12-29T00:00:00"/>
    <d v="2024-01-01T00:00:00"/>
    <m/>
    <x v="0"/>
    <x v="1"/>
    <s v="CUST011"/>
    <s v="PROD016"/>
    <x v="3"/>
    <n v="218"/>
    <n v="5"/>
    <n v="1090"/>
    <x v="2"/>
    <s v="DHL"/>
    <s v="Mason Hall"/>
    <s v="Cookware Set Pro"/>
    <s v="Home"/>
    <s v="Slow"/>
    <n v="97500"/>
    <s v="Business"/>
    <n v="0"/>
    <n v="1"/>
    <n v="0"/>
    <n v="1"/>
  </r>
  <r>
    <s v="ORD0054"/>
    <d v="2023-03-06T00:00:00"/>
    <m/>
    <d v="2023-03-13T00:00:00"/>
    <x v="10"/>
    <x v="0"/>
    <s v="CUST018"/>
    <s v="PROD004"/>
    <x v="0"/>
    <n v="64"/>
    <n v="1"/>
    <n v="64"/>
    <x v="0"/>
    <s v="USPS"/>
    <s v="Grace Scott"/>
    <s v="Leg Set"/>
    <s v="Toys"/>
    <s v="Pending"/>
    <n v="105000"/>
    <s v="Individual"/>
    <n v="1"/>
    <n v="1"/>
    <n v="0"/>
    <n v="0"/>
  </r>
  <r>
    <s v="ORD0055"/>
    <d v="2023-02-02T00:00:00"/>
    <d v="2023-02-06T00:00:00"/>
    <m/>
    <x v="1"/>
    <x v="1"/>
    <s v="CUST037"/>
    <s v="PROD021"/>
    <x v="3"/>
    <n v="36"/>
    <n v="4"/>
    <n v="144"/>
    <x v="2"/>
    <s v="Amazon Logistics"/>
    <s v="Emily Johnson"/>
    <s v="Wall Clock"/>
    <s v="Home"/>
    <s v="Slow"/>
    <n v="97500"/>
    <s v="Individual"/>
    <n v="0"/>
    <n v="1"/>
    <n v="0"/>
    <n v="1"/>
  </r>
  <r>
    <s v="ORD0056"/>
    <d v="2023-10-18T00:00:00"/>
    <d v="2023-10-21T00:00:00"/>
    <m/>
    <x v="2"/>
    <x v="1"/>
    <s v="CUST017"/>
    <s v="PROD004"/>
    <x v="4"/>
    <n v="65"/>
    <n v="1"/>
    <n v="65"/>
    <x v="3"/>
    <s v="FedEx"/>
    <s v="Emma King"/>
    <s v="Leg Set"/>
    <s v="Toys"/>
    <s v="Slow"/>
    <n v="90750"/>
    <s v="Business"/>
    <n v="0"/>
    <n v="1"/>
    <n v="0"/>
    <n v="1"/>
  </r>
  <r>
    <s v="ORD0057"/>
    <d v="2023-01-07T00:00:00"/>
    <d v="2023-01-09T00:00:00"/>
    <m/>
    <x v="9"/>
    <x v="1"/>
    <s v="CUST025"/>
    <s v="PROD005"/>
    <x v="3"/>
    <n v="26"/>
    <n v="1"/>
    <n v="26"/>
    <x v="0"/>
    <s v="DHL"/>
    <s v="Emma King"/>
    <s v="T-Shirt"/>
    <s v="Fashion"/>
    <s v="Fast"/>
    <n v="97500"/>
    <s v="Individual"/>
    <n v="0"/>
    <n v="1"/>
    <n v="1"/>
    <n v="1"/>
  </r>
  <r>
    <s v="ORD0058"/>
    <d v="2023-05-08T00:00:00"/>
    <m/>
    <m/>
    <x v="3"/>
    <x v="2"/>
    <s v="CUST021"/>
    <s v="PROD009"/>
    <x v="0"/>
    <n v="11"/>
    <n v="5"/>
    <n v="55"/>
    <x v="1"/>
    <s v="FedEx"/>
    <s v="Zoe Mitchell"/>
    <s v="Magazine"/>
    <s v="Books"/>
    <s v="Pending"/>
    <n v="105000"/>
    <s v="Individual"/>
    <n v="0"/>
    <n v="1"/>
    <n v="0"/>
    <n v="0"/>
  </r>
  <r>
    <s v="ORD0059"/>
    <d v="2023-04-02T00:00:00"/>
    <m/>
    <d v="2023-04-05T00:00:00"/>
    <x v="6"/>
    <x v="0"/>
    <s v="CUST003"/>
    <s v="PROD013"/>
    <x v="0"/>
    <n v="195"/>
    <n v="4"/>
    <n v="780"/>
    <x v="2"/>
    <s v="FedEx"/>
    <s v="Ethan Davis"/>
    <s v="Vacuum Cleaner"/>
    <s v="Home"/>
    <s v="Pending"/>
    <n v="105000"/>
    <s v="Prime"/>
    <n v="1"/>
    <n v="1"/>
    <n v="0"/>
    <n v="0"/>
  </r>
  <r>
    <s v="ORD0060"/>
    <d v="2023-10-11T00:00:00"/>
    <m/>
    <d v="2023-10-12T00:00:00"/>
    <x v="2"/>
    <x v="0"/>
    <s v="CUST019"/>
    <s v="PROD019"/>
    <x v="4"/>
    <n v="44"/>
    <n v="5"/>
    <n v="220"/>
    <x v="0"/>
    <s v="USPS"/>
    <s v="Ava Robinson"/>
    <s v="Formal Shirt"/>
    <s v="Fashion"/>
    <s v="Pending"/>
    <n v="90750"/>
    <s v="Prime"/>
    <n v="1"/>
    <n v="1"/>
    <n v="0"/>
    <n v="0"/>
  </r>
  <r>
    <s v="ORD0061"/>
    <d v="2023-09-10T00:00:00"/>
    <m/>
    <m/>
    <x v="11"/>
    <x v="2"/>
    <s v="CUST035"/>
    <s v="PROD008"/>
    <x v="1"/>
    <n v="69"/>
    <n v="4"/>
    <n v="276"/>
    <x v="4"/>
    <s v="DHL"/>
    <s v="Scarlett Adams"/>
    <s v="Textbook"/>
    <s v="Books"/>
    <s v="Pending"/>
    <n v="50500"/>
    <s v="Business"/>
    <n v="0"/>
    <n v="1"/>
    <n v="0"/>
    <n v="0"/>
  </r>
  <r>
    <s v="ORD0062"/>
    <d v="2023-11-22T00:00:00"/>
    <d v="2023-11-29T00:00:00"/>
    <m/>
    <x v="4"/>
    <x v="1"/>
    <s v="CUST022"/>
    <s v="PROD001"/>
    <x v="0"/>
    <n v="815"/>
    <n v="4"/>
    <n v="3260"/>
    <x v="1"/>
    <s v="USPS"/>
    <s v="Elijah Lewis"/>
    <s v="Smartphone"/>
    <s v="Electronics"/>
    <s v="Slow"/>
    <n v="105000"/>
    <s v="Individual"/>
    <n v="0"/>
    <n v="1"/>
    <n v="0"/>
    <n v="1"/>
  </r>
  <r>
    <s v="ORD0063"/>
    <d v="2023-05-02T00:00:00"/>
    <m/>
    <m/>
    <x v="3"/>
    <x v="2"/>
    <s v="CUST004"/>
    <s v="PROD005"/>
    <x v="1"/>
    <n v="27"/>
    <n v="1"/>
    <n v="27"/>
    <x v="4"/>
    <s v="Amazon Logistics"/>
    <s v="Noah Wilson"/>
    <s v="T-Shirt"/>
    <s v="Fashion"/>
    <s v="Pending"/>
    <n v="50500"/>
    <s v="Prime"/>
    <n v="0"/>
    <n v="1"/>
    <n v="0"/>
    <n v="0"/>
  </r>
  <r>
    <s v="ORD0064"/>
    <d v="2023-12-25T00:00:00"/>
    <d v="2023-12-29T00:00:00"/>
    <m/>
    <x v="0"/>
    <x v="1"/>
    <s v="CUST048"/>
    <s v="PROD003"/>
    <x v="4"/>
    <n v="139"/>
    <n v="5"/>
    <n v="695"/>
    <x v="0"/>
    <s v="USPS"/>
    <s v="Noah Wilson"/>
    <s v="Cookware Set"/>
    <s v="Home"/>
    <s v="Slow"/>
    <n v="90750"/>
    <s v="Business"/>
    <n v="0"/>
    <n v="1"/>
    <n v="0"/>
    <n v="1"/>
  </r>
  <r>
    <s v="ORD0065"/>
    <d v="2023-10-18T00:00:00"/>
    <m/>
    <d v="2023-10-20T00:00:00"/>
    <x v="2"/>
    <x v="0"/>
    <s v="CUST009"/>
    <s v="PROD008"/>
    <x v="2"/>
    <n v="69"/>
    <n v="3"/>
    <n v="207"/>
    <x v="2"/>
    <s v="Amazon Logistics"/>
    <s v="Jackson Allen"/>
    <s v="Textbook"/>
    <s v="Books"/>
    <s v="Pending"/>
    <n v="91500"/>
    <s v="Business"/>
    <n v="1"/>
    <n v="1"/>
    <n v="0"/>
    <n v="0"/>
  </r>
  <r>
    <s v="ORD0066"/>
    <d v="2023-05-20T00:00:00"/>
    <m/>
    <d v="2023-05-21T00:00:00"/>
    <x v="3"/>
    <x v="0"/>
    <s v="CUST009"/>
    <s v="PROD019"/>
    <x v="4"/>
    <n v="42"/>
    <n v="1"/>
    <n v="42"/>
    <x v="0"/>
    <s v="DHL"/>
    <s v="Jackson Allen"/>
    <s v="Formal Shirt"/>
    <s v="Fashion"/>
    <s v="Pending"/>
    <n v="90750"/>
    <s v="Business"/>
    <n v="1"/>
    <n v="1"/>
    <n v="0"/>
    <n v="0"/>
  </r>
  <r>
    <s v="ORD0067"/>
    <d v="2023-07-28T00:00:00"/>
    <d v="2023-07-30T00:00:00"/>
    <m/>
    <x v="7"/>
    <x v="1"/>
    <s v="CUST050"/>
    <s v="PROD007"/>
    <x v="0"/>
    <n v="31"/>
    <n v="4"/>
    <n v="124"/>
    <x v="1"/>
    <s v="UPS"/>
    <s v="NA"/>
    <s v="Puzzle"/>
    <s v="Toys"/>
    <s v="Fast"/>
    <n v="105000"/>
    <s v="NA"/>
    <n v="0"/>
    <n v="1"/>
    <n v="1"/>
    <n v="1"/>
  </r>
  <r>
    <s v="ORD0068"/>
    <d v="2023-12-18T00:00:00"/>
    <m/>
    <m/>
    <x v="0"/>
    <x v="2"/>
    <s v="CUST045"/>
    <s v="PROD020"/>
    <x v="4"/>
    <n v="104"/>
    <n v="3"/>
    <n v="312"/>
    <x v="1"/>
    <s v="UPS"/>
    <s v="Emily Johnson"/>
    <s v="Bluetooth Speaker"/>
    <s v="Electronics"/>
    <s v="Pending"/>
    <n v="90750"/>
    <s v="Individual"/>
    <n v="0"/>
    <n v="1"/>
    <n v="0"/>
    <n v="0"/>
  </r>
  <r>
    <s v="ORD0069"/>
    <d v="2023-07-02T00:00:00"/>
    <m/>
    <d v="2023-07-07T00:00:00"/>
    <x v="7"/>
    <x v="0"/>
    <s v="CUST044"/>
    <s v="PROD010"/>
    <x v="1"/>
    <n v="58"/>
    <n v="2"/>
    <n v="116"/>
    <x v="0"/>
    <s v="USPS"/>
    <s v="Grace Ward"/>
    <s v="Jeans"/>
    <s v="Fashion"/>
    <s v="Pending"/>
    <n v="50500"/>
    <s v="Business"/>
    <n v="1"/>
    <n v="1"/>
    <n v="0"/>
    <n v="0"/>
  </r>
  <r>
    <s v="ORD0070"/>
    <d v="2023-10-09T00:00:00"/>
    <m/>
    <d v="2023-10-10T00:00:00"/>
    <x v="2"/>
    <x v="0"/>
    <s v="CUST009"/>
    <s v="PROD004"/>
    <x v="4"/>
    <n v="62"/>
    <n v="2"/>
    <n v="124"/>
    <x v="4"/>
    <s v="DHL"/>
    <s v="Jackson Allen"/>
    <s v="Leg Set"/>
    <s v="Toys"/>
    <s v="Pending"/>
    <n v="90750"/>
    <s v="Business"/>
    <n v="1"/>
    <n v="1"/>
    <n v="0"/>
    <n v="0"/>
  </r>
  <r>
    <s v="ORD0071"/>
    <d v="2023-12-18T00:00:00"/>
    <d v="2023-12-25T00:00:00"/>
    <m/>
    <x v="0"/>
    <x v="1"/>
    <s v="CUST006"/>
    <s v="PROD019"/>
    <x v="1"/>
    <n v="43"/>
    <n v="1"/>
    <n v="43"/>
    <x v="1"/>
    <s v="Amazon Logistics"/>
    <s v="Ava Robinson"/>
    <s v="Formal Shirt"/>
    <s v="Fashion"/>
    <s v="Slow"/>
    <n v="50500"/>
    <s v="Prime"/>
    <n v="0"/>
    <n v="1"/>
    <n v="0"/>
    <n v="1"/>
  </r>
  <r>
    <s v="ORD0072"/>
    <d v="2023-03-07T00:00:00"/>
    <m/>
    <m/>
    <x v="10"/>
    <x v="2"/>
    <s v="CUST022"/>
    <s v="PROD004"/>
    <x v="1"/>
    <n v="62"/>
    <n v="4"/>
    <n v="248"/>
    <x v="4"/>
    <s v="Amazon Logistics"/>
    <s v="Elijah Lewis"/>
    <s v="Leg Set"/>
    <s v="Toys"/>
    <s v="Pending"/>
    <n v="50500"/>
    <s v="Individual"/>
    <n v="0"/>
    <n v="1"/>
    <n v="0"/>
    <n v="0"/>
  </r>
  <r>
    <s v="ORD0073"/>
    <d v="2023-07-22T00:00:00"/>
    <m/>
    <d v="2023-07-25T00:00:00"/>
    <x v="7"/>
    <x v="0"/>
    <s v="CUST028"/>
    <s v="PROD006"/>
    <x v="0"/>
    <n v="95"/>
    <n v="2"/>
    <n v="190"/>
    <x v="2"/>
    <s v="UPS"/>
    <s v="Lily Bennett"/>
    <s v="Shoes"/>
    <s v="Fashion"/>
    <s v="Pending"/>
    <n v="105000"/>
    <s v="Business"/>
    <n v="1"/>
    <n v="1"/>
    <n v="0"/>
    <n v="0"/>
  </r>
  <r>
    <s v="ORD0074"/>
    <d v="2023-01-18T00:00:00"/>
    <d v="2023-01-24T00:00:00"/>
    <m/>
    <x v="9"/>
    <x v="1"/>
    <s v="CUST016"/>
    <s v="PROD021"/>
    <x v="3"/>
    <n v="36"/>
    <n v="4"/>
    <n v="144"/>
    <x v="0"/>
    <s v="FedEx"/>
    <s v="Elijah Lewis"/>
    <s v="Wall Clock"/>
    <s v="Home"/>
    <s v="Slow"/>
    <n v="97500"/>
    <s v="Prime"/>
    <n v="0"/>
    <n v="1"/>
    <n v="0"/>
    <n v="1"/>
  </r>
  <r>
    <s v="ORD0075"/>
    <d v="2023-05-24T00:00:00"/>
    <m/>
    <m/>
    <x v="3"/>
    <x v="2"/>
    <s v="CUST042"/>
    <s v="PROD017"/>
    <x v="1"/>
    <n v="73"/>
    <n v="5"/>
    <n v="365"/>
    <x v="0"/>
    <s v="DHL"/>
    <s v="Noah Wilson"/>
    <s v="Gaming Mouse"/>
    <s v="Electronics"/>
    <s v="Pending"/>
    <n v="50500"/>
    <s v="Prime"/>
    <n v="0"/>
    <n v="1"/>
    <n v="0"/>
    <n v="0"/>
  </r>
  <r>
    <s v="ORD0076"/>
    <d v="2023-09-03T00:00:00"/>
    <d v="2023-09-09T00:00:00"/>
    <m/>
    <x v="11"/>
    <x v="1"/>
    <s v="CUST023"/>
    <s v="PROD019"/>
    <x v="0"/>
    <n v="43"/>
    <n v="4"/>
    <n v="172"/>
    <x v="4"/>
    <s v="DHL"/>
    <s v="Charlotte Reed"/>
    <s v="Formal Shirt"/>
    <s v="Fashion"/>
    <s v="Slow"/>
    <n v="105000"/>
    <s v="Individual"/>
    <n v="0"/>
    <n v="1"/>
    <n v="0"/>
    <n v="1"/>
  </r>
  <r>
    <s v="ORD0077"/>
    <d v="2023-11-02T00:00:00"/>
    <d v="2023-11-04T00:00:00"/>
    <m/>
    <x v="4"/>
    <x v="1"/>
    <s v="CUST004"/>
    <s v="PROD016"/>
    <x v="4"/>
    <n v="214"/>
    <n v="5"/>
    <n v="1070"/>
    <x v="4"/>
    <s v="UPS"/>
    <s v="Noah Wilson"/>
    <s v="Cookware Set Pro"/>
    <s v="Home"/>
    <s v="Fast"/>
    <n v="90750"/>
    <s v="Prime"/>
    <n v="0"/>
    <n v="1"/>
    <n v="1"/>
    <n v="1"/>
  </r>
  <r>
    <s v="ORD0078"/>
    <d v="2023-12-03T00:00:00"/>
    <m/>
    <d v="2023-12-06T00:00:00"/>
    <x v="0"/>
    <x v="0"/>
    <s v="CUST048"/>
    <s v="PROD002"/>
    <x v="3"/>
    <n v="42"/>
    <n v="2"/>
    <n v="84"/>
    <x v="0"/>
    <s v="UPS"/>
    <s v="Noah Wilson"/>
    <s v="Action Figure"/>
    <s v="Toys"/>
    <s v="Pending"/>
    <n v="97500"/>
    <s v="Business"/>
    <n v="1"/>
    <n v="1"/>
    <n v="0"/>
    <n v="0"/>
  </r>
  <r>
    <s v="ORD0079"/>
    <d v="2023-04-01T00:00:00"/>
    <m/>
    <m/>
    <x v="6"/>
    <x v="2"/>
    <s v="CUST048"/>
    <s v="PROD012"/>
    <x v="0"/>
    <n v="46"/>
    <n v="1"/>
    <n v="46"/>
    <x v="3"/>
    <s v="UPS"/>
    <s v="Noah Wilson"/>
    <s v="Lamp"/>
    <s v="Home"/>
    <s v="Pending"/>
    <n v="105000"/>
    <s v="Business"/>
    <n v="0"/>
    <n v="1"/>
    <n v="0"/>
    <n v="0"/>
  </r>
  <r>
    <s v="ORD0080"/>
    <d v="2023-10-16T00:00:00"/>
    <d v="2023-10-19T00:00:00"/>
    <m/>
    <x v="2"/>
    <x v="1"/>
    <s v="CUST032"/>
    <s v="PROD018"/>
    <x v="1"/>
    <n v="95"/>
    <n v="4"/>
    <n v="380"/>
    <x v="1"/>
    <s v="UPS"/>
    <s v="Luke Gray"/>
    <s v="Doll House"/>
    <s v="Toys"/>
    <s v="Slow"/>
    <n v="50500"/>
    <s v="Business"/>
    <n v="0"/>
    <n v="1"/>
    <n v="0"/>
    <n v="1"/>
  </r>
  <r>
    <s v="ORD0081"/>
    <d v="2023-11-05T00:00:00"/>
    <m/>
    <m/>
    <x v="4"/>
    <x v="2"/>
    <s v="CUST001"/>
    <s v="PROD011"/>
    <x v="4"/>
    <n v="174"/>
    <n v="2"/>
    <n v="348"/>
    <x v="2"/>
    <s v="UPS"/>
    <s v="James Miller"/>
    <s v="Headphones"/>
    <s v="Electronics"/>
    <s v="Pending"/>
    <n v="90750"/>
    <s v="Business"/>
    <n v="0"/>
    <n v="1"/>
    <n v="0"/>
    <n v="0"/>
  </r>
  <r>
    <s v="ORD0082"/>
    <d v="2023-06-15T00:00:00"/>
    <m/>
    <d v="2023-06-18T00:00:00"/>
    <x v="8"/>
    <x v="0"/>
    <s v="CUST046"/>
    <s v="PROD005"/>
    <x v="0"/>
    <n v="27"/>
    <n v="5"/>
    <n v="135"/>
    <x v="1"/>
    <s v="Amazon Logistics"/>
    <s v="Emily Johnson"/>
    <s v="T-Shirt"/>
    <s v="Fashion"/>
    <s v="Pending"/>
    <n v="105000"/>
    <s v="Prime"/>
    <n v="1"/>
    <n v="1"/>
    <n v="0"/>
    <n v="0"/>
  </r>
  <r>
    <s v="ORD0083"/>
    <d v="2023-10-28T00:00:00"/>
    <d v="2023-10-30T00:00:00"/>
    <m/>
    <x v="2"/>
    <x v="1"/>
    <s v="CUST021"/>
    <s v="PROD005"/>
    <x v="2"/>
    <n v="27"/>
    <n v="4"/>
    <n v="108"/>
    <x v="2"/>
    <s v="USPS"/>
    <s v="Zoe Mitchell"/>
    <s v="T-Shirt"/>
    <s v="Fashion"/>
    <s v="Fast"/>
    <n v="91500"/>
    <s v="Individual"/>
    <n v="0"/>
    <n v="1"/>
    <n v="1"/>
    <n v="1"/>
  </r>
  <r>
    <s v="ORD0084"/>
    <d v="2023-12-22T00:00:00"/>
    <m/>
    <m/>
    <x v="0"/>
    <x v="2"/>
    <s v="CUST015"/>
    <s v="PROD022"/>
    <x v="2"/>
    <n v="65"/>
    <n v="2"/>
    <n v="130"/>
    <x v="2"/>
    <s v="DHL"/>
    <s v="Ava White"/>
    <s v="Backpack"/>
    <s v="Fashion"/>
    <s v="Pending"/>
    <n v="91500"/>
    <s v="Individual"/>
    <n v="0"/>
    <n v="1"/>
    <n v="0"/>
    <n v="0"/>
  </r>
  <r>
    <s v="ORD0085"/>
    <d v="2023-03-07T00:00:00"/>
    <m/>
    <m/>
    <x v="10"/>
    <x v="2"/>
    <s v="CUST045"/>
    <s v="PROD019"/>
    <x v="1"/>
    <n v="43"/>
    <n v="5"/>
    <n v="215"/>
    <x v="4"/>
    <s v="DHL"/>
    <s v="Emily Johnson"/>
    <s v="Formal Shirt"/>
    <s v="Fashion"/>
    <s v="Pending"/>
    <n v="50500"/>
    <s v="Individual"/>
    <n v="0"/>
    <n v="1"/>
    <n v="0"/>
    <n v="0"/>
  </r>
  <r>
    <s v="ORD0086"/>
    <d v="2023-11-10T00:00:00"/>
    <m/>
    <m/>
    <x v="4"/>
    <x v="2"/>
    <s v="CUST007"/>
    <s v="PROD016"/>
    <x v="4"/>
    <n v="210"/>
    <n v="1"/>
    <n v="210"/>
    <x v="2"/>
    <s v="UPS"/>
    <s v="Liam Walker"/>
    <s v="Cookware Set Pro"/>
    <s v="Home"/>
    <s v="Pending"/>
    <n v="90750"/>
    <s v="Prime"/>
    <n v="0"/>
    <n v="1"/>
    <n v="0"/>
    <n v="0"/>
  </r>
  <r>
    <s v="ORD0087"/>
    <d v="2023-11-22T00:00:00"/>
    <m/>
    <m/>
    <x v="4"/>
    <x v="2"/>
    <s v="CUST043"/>
    <s v="PROD021"/>
    <x v="2"/>
    <n v="37"/>
    <n v="3"/>
    <n v="111"/>
    <x v="1"/>
    <s v="UPS"/>
    <s v="Lily Reed"/>
    <s v="Wall Clock"/>
    <s v="Home"/>
    <s v="Pending"/>
    <n v="91500"/>
    <s v="Individual"/>
    <n v="0"/>
    <n v="1"/>
    <n v="0"/>
    <n v="0"/>
  </r>
  <r>
    <s v="ORD0088"/>
    <d v="2023-05-08T00:00:00"/>
    <m/>
    <m/>
    <x v="3"/>
    <x v="2"/>
    <s v="CUST007"/>
    <s v="PROD001"/>
    <x v="2"/>
    <n v="788"/>
    <n v="4"/>
    <n v="3152"/>
    <x v="4"/>
    <s v="Amazon Logistics"/>
    <s v="Liam Walker"/>
    <s v="Smartphone"/>
    <s v="Electronics"/>
    <s v="Pending"/>
    <n v="91500"/>
    <s v="Prime"/>
    <n v="0"/>
    <n v="1"/>
    <n v="0"/>
    <n v="0"/>
  </r>
  <r>
    <s v="ORD0089"/>
    <d v="2023-07-13T00:00:00"/>
    <m/>
    <m/>
    <x v="7"/>
    <x v="2"/>
    <s v="CUST007"/>
    <s v="PROD016"/>
    <x v="4"/>
    <n v="217"/>
    <n v="5"/>
    <n v="1085"/>
    <x v="4"/>
    <s v="FedEx"/>
    <s v="Liam Walker"/>
    <s v="Cookware Set Pro"/>
    <s v="Home"/>
    <s v="Pending"/>
    <n v="90750"/>
    <s v="Prime"/>
    <n v="0"/>
    <n v="1"/>
    <n v="0"/>
    <n v="0"/>
  </r>
  <r>
    <s v="ORD0090"/>
    <d v="2023-01-18T00:00:00"/>
    <m/>
    <m/>
    <x v="9"/>
    <x v="2"/>
    <s v="CUST007"/>
    <s v="PROD003"/>
    <x v="4"/>
    <n v="138"/>
    <n v="4"/>
    <n v="552"/>
    <x v="1"/>
    <s v="FedEx"/>
    <s v="Liam Walker"/>
    <s v="Cookware Set"/>
    <s v="Home"/>
    <s v="Pending"/>
    <n v="90750"/>
    <s v="Prime"/>
    <n v="0"/>
    <n v="1"/>
    <n v="0"/>
    <n v="0"/>
  </r>
  <r>
    <s v="ORD0091"/>
    <d v="2023-06-23T00:00:00"/>
    <d v="2023-06-29T00:00:00"/>
    <m/>
    <x v="8"/>
    <x v="1"/>
    <s v="CUST031"/>
    <s v="PROD001"/>
    <x v="3"/>
    <n v="803"/>
    <n v="2"/>
    <n v="1606"/>
    <x v="0"/>
    <s v="FedEx"/>
    <s v="Mason Collins"/>
    <s v="Smartphone"/>
    <s v="Electronics"/>
    <s v="Slow"/>
    <n v="97500"/>
    <s v="Business"/>
    <n v="0"/>
    <n v="1"/>
    <n v="0"/>
    <n v="1"/>
  </r>
  <r>
    <s v="ORD0092"/>
    <d v="2023-02-21T00:00:00"/>
    <m/>
    <d v="2023-02-25T00:00:00"/>
    <x v="1"/>
    <x v="0"/>
    <s v="CUST013"/>
    <s v="PROD014"/>
    <x v="0"/>
    <n v="248"/>
    <n v="5"/>
    <n v="1240"/>
    <x v="2"/>
    <s v="UPS"/>
    <s v="Olivia Martinez"/>
    <s v="Smartwatch"/>
    <s v="Electronics"/>
    <s v="Pending"/>
    <n v="105000"/>
    <s v="Prime"/>
    <n v="1"/>
    <n v="1"/>
    <n v="0"/>
    <n v="0"/>
  </r>
  <r>
    <s v="ORD0093"/>
    <d v="2023-02-19T00:00:00"/>
    <d v="2023-02-21T00:00:00"/>
    <m/>
    <x v="1"/>
    <x v="1"/>
    <s v="CUST036"/>
    <s v="PROD016"/>
    <x v="1"/>
    <n v="210"/>
    <n v="3"/>
    <n v="630"/>
    <x v="0"/>
    <s v="DHL"/>
    <s v="Ethan Davis"/>
    <s v="Cookware Set Pro"/>
    <s v="Home"/>
    <s v="Fast"/>
    <n v="50500"/>
    <s v="Business"/>
    <n v="0"/>
    <n v="1"/>
    <n v="1"/>
    <n v="1"/>
  </r>
  <r>
    <s v="ORD0094"/>
    <d v="2023-12-05T00:00:00"/>
    <m/>
    <d v="2023-12-12T00:00:00"/>
    <x v="0"/>
    <x v="0"/>
    <s v="CUST013"/>
    <s v="PROD004"/>
    <x v="0"/>
    <n v="62"/>
    <n v="2"/>
    <n v="124"/>
    <x v="1"/>
    <s v="FedEx"/>
    <s v="Olivia Martinez"/>
    <s v="Leg Set"/>
    <s v="Toys"/>
    <s v="Pending"/>
    <n v="105000"/>
    <s v="Prime"/>
    <n v="1"/>
    <n v="1"/>
    <n v="0"/>
    <n v="0"/>
  </r>
  <r>
    <s v="ORD0095"/>
    <d v="2023-06-07T00:00:00"/>
    <m/>
    <d v="2023-06-12T00:00:00"/>
    <x v="8"/>
    <x v="0"/>
    <s v="CUST043"/>
    <s v="PROD009"/>
    <x v="2"/>
    <n v="11"/>
    <n v="5"/>
    <n v="55"/>
    <x v="4"/>
    <s v="Amazon Logistics"/>
    <s v="Lily Reed"/>
    <s v="Magazine"/>
    <s v="Books"/>
    <s v="Pending"/>
    <n v="91500"/>
    <s v="Individual"/>
    <n v="1"/>
    <n v="1"/>
    <n v="0"/>
    <n v="0"/>
  </r>
  <r>
    <s v="ORD0096"/>
    <d v="2023-07-09T00:00:00"/>
    <d v="2023-07-12T00:00:00"/>
    <m/>
    <x v="7"/>
    <x v="1"/>
    <s v="CUST017"/>
    <s v="PROD015"/>
    <x v="0"/>
    <n v="21"/>
    <n v="2"/>
    <n v="42"/>
    <x v="3"/>
    <s v="UPS"/>
    <s v="Emma King"/>
    <s v="Novel"/>
    <s v="Books"/>
    <s v="Slow"/>
    <n v="105000"/>
    <s v="Business"/>
    <n v="0"/>
    <n v="1"/>
    <n v="0"/>
    <n v="1"/>
  </r>
  <r>
    <s v="ORD0097"/>
    <d v="2023-12-23T00:00:00"/>
    <d v="2023-12-26T00:00:00"/>
    <m/>
    <x v="0"/>
    <x v="1"/>
    <s v="CUST023"/>
    <s v="PROD018"/>
    <x v="4"/>
    <n v="95"/>
    <n v="5"/>
    <n v="475"/>
    <x v="3"/>
    <s v="Amazon Logistics"/>
    <s v="Charlotte Reed"/>
    <s v="Doll House"/>
    <s v="Toys"/>
    <s v="Slow"/>
    <n v="90750"/>
    <s v="Individual"/>
    <n v="0"/>
    <n v="1"/>
    <n v="0"/>
    <n v="1"/>
  </r>
  <r>
    <s v="ORD0098"/>
    <d v="2023-09-25T00:00:00"/>
    <d v="2023-09-30T00:00:00"/>
    <m/>
    <x v="11"/>
    <x v="1"/>
    <s v="CUST044"/>
    <s v="PROD016"/>
    <x v="2"/>
    <n v="215"/>
    <n v="2"/>
    <n v="430"/>
    <x v="2"/>
    <s v="Amazon Logistics"/>
    <s v="Grace Ward"/>
    <s v="Cookware Set Pro"/>
    <s v="Home"/>
    <s v="Slow"/>
    <n v="91500"/>
    <s v="Business"/>
    <n v="0"/>
    <n v="1"/>
    <n v="0"/>
    <n v="1"/>
  </r>
  <r>
    <s v="ORD0099"/>
    <d v="2023-01-18T00:00:00"/>
    <m/>
    <d v="2023-01-24T00:00:00"/>
    <x v="9"/>
    <x v="0"/>
    <s v="CUST034"/>
    <s v="PROD019"/>
    <x v="4"/>
    <n v="43"/>
    <n v="5"/>
    <n v="215"/>
    <x v="1"/>
    <s v="UPS"/>
    <s v="Lily Simmons"/>
    <s v="Formal Shirt"/>
    <s v="Fashion"/>
    <s v="Pending"/>
    <n v="90750"/>
    <s v="Individual"/>
    <n v="1"/>
    <n v="1"/>
    <n v="0"/>
    <n v="0"/>
  </r>
  <r>
    <s v="ORD0100"/>
    <d v="2023-03-27T00:00:00"/>
    <m/>
    <m/>
    <x v="10"/>
    <x v="2"/>
    <s v="CUST009"/>
    <s v="PROD002"/>
    <x v="4"/>
    <n v="42"/>
    <n v="4"/>
    <n v="168"/>
    <x v="4"/>
    <s v="DHL"/>
    <s v="Jackson Allen"/>
    <s v="Action Figure"/>
    <s v="Toys"/>
    <s v="Pending"/>
    <n v="90750"/>
    <s v="Business"/>
    <n v="0"/>
    <n v="1"/>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d v="2024-01-02T00:00:00"/>
    <x v="0"/>
    <x v="0"/>
    <s v="CUST021"/>
    <s v="Zoe Mitchell"/>
    <s v="PROD012"/>
    <x v="0"/>
    <n v="44"/>
    <n v="1"/>
    <n v="44"/>
    <x v="0"/>
    <x v="0"/>
    <s v="DHL"/>
    <x v="0"/>
    <x v="0"/>
    <s v="Pending"/>
    <s v="Pending"/>
    <n v="0"/>
    <n v="1"/>
    <n v="1"/>
    <n v="0"/>
    <n v="0"/>
  </r>
  <r>
    <s v="ORD0002"/>
    <x v="1"/>
    <d v="2023-02-24T00:00:00"/>
    <m/>
    <x v="1"/>
    <x v="1"/>
    <s v="CUST029"/>
    <s v="Ava White"/>
    <s v="PROD018"/>
    <x v="1"/>
    <n v="96"/>
    <n v="4"/>
    <n v="384"/>
    <x v="1"/>
    <x v="1"/>
    <s v="DHL"/>
    <x v="1"/>
    <x v="1"/>
    <n v="2"/>
    <s v="Fast"/>
    <n v="384"/>
    <n v="0"/>
    <n v="1"/>
    <n v="1"/>
    <n v="1"/>
  </r>
  <r>
    <s v="ORD0003"/>
    <x v="2"/>
    <m/>
    <m/>
    <x v="2"/>
    <x v="2"/>
    <s v="CUST021"/>
    <s v="Zoe Mitchell"/>
    <s v="PROD013"/>
    <x v="2"/>
    <n v="194"/>
    <n v="4"/>
    <n v="776"/>
    <x v="1"/>
    <x v="2"/>
    <s v="USPS"/>
    <x v="0"/>
    <x v="2"/>
    <s v="Pending"/>
    <s v="Pending"/>
    <n v="0"/>
    <n v="0"/>
    <n v="1"/>
    <n v="0"/>
    <n v="0"/>
  </r>
  <r>
    <s v="ORD0004"/>
    <x v="3"/>
    <m/>
    <d v="2023-05-11T00:00:00"/>
    <x v="3"/>
    <x v="0"/>
    <s v="CUST044"/>
    <s v="Grace Ward"/>
    <s v="PROD013"/>
    <x v="0"/>
    <n v="196"/>
    <n v="3"/>
    <n v="588"/>
    <x v="2"/>
    <x v="0"/>
    <s v="UPS"/>
    <x v="0"/>
    <x v="2"/>
    <s v="Pending"/>
    <s v="Pending"/>
    <n v="0"/>
    <n v="1"/>
    <n v="1"/>
    <n v="0"/>
    <n v="0"/>
  </r>
  <r>
    <s v="ORD0005"/>
    <x v="4"/>
    <d v="2023-02-05T00:00:00"/>
    <m/>
    <x v="1"/>
    <x v="1"/>
    <s v="CUST027"/>
    <s v="Hazel Brooks"/>
    <s v="PROD010"/>
    <x v="0"/>
    <n v="59"/>
    <n v="1"/>
    <n v="59"/>
    <x v="2"/>
    <x v="1"/>
    <s v="Amazon Logistics"/>
    <x v="2"/>
    <x v="3"/>
    <n v="3"/>
    <s v="Slow"/>
    <n v="59"/>
    <n v="0"/>
    <n v="1"/>
    <n v="0"/>
    <n v="1"/>
  </r>
  <r>
    <s v="ORD0006"/>
    <x v="5"/>
    <m/>
    <d v="2023-11-02T00:00:00"/>
    <x v="4"/>
    <x v="0"/>
    <s v="CUST009"/>
    <s v="Jackson Allen"/>
    <s v="PROD010"/>
    <x v="0"/>
    <n v="58"/>
    <n v="4"/>
    <n v="232"/>
    <x v="3"/>
    <x v="0"/>
    <s v="DHL"/>
    <x v="2"/>
    <x v="3"/>
    <s v="Pending"/>
    <s v="Pending"/>
    <n v="0"/>
    <n v="1"/>
    <n v="1"/>
    <n v="0"/>
    <n v="0"/>
  </r>
  <r>
    <s v="ORD0007"/>
    <x v="6"/>
    <m/>
    <d v="2023-08-18T00:00:00"/>
    <x v="5"/>
    <x v="0"/>
    <s v="CUST042"/>
    <s v="Noah Wilson"/>
    <s v="PROD020"/>
    <x v="3"/>
    <n v="105"/>
    <n v="3"/>
    <n v="315"/>
    <x v="4"/>
    <x v="0"/>
    <s v="DHL"/>
    <x v="3"/>
    <x v="4"/>
    <s v="Pending"/>
    <s v="Pending"/>
    <n v="0"/>
    <n v="1"/>
    <n v="1"/>
    <n v="0"/>
    <n v="0"/>
  </r>
  <r>
    <s v="ORD0008"/>
    <x v="7"/>
    <m/>
    <d v="2023-04-06T00:00:00"/>
    <x v="6"/>
    <x v="0"/>
    <s v="CUST019"/>
    <s v="Ava Robinson"/>
    <s v="PROD021"/>
    <x v="4"/>
    <n v="37"/>
    <n v="5"/>
    <n v="185"/>
    <x v="2"/>
    <x v="0"/>
    <s v="DHL"/>
    <x v="0"/>
    <x v="5"/>
    <s v="Pending"/>
    <s v="Pending"/>
    <n v="0"/>
    <n v="1"/>
    <n v="1"/>
    <n v="0"/>
    <n v="0"/>
  </r>
  <r>
    <s v="ORD0009"/>
    <x v="8"/>
    <m/>
    <m/>
    <x v="7"/>
    <x v="2"/>
    <s v="CUST013"/>
    <s v="Olivia Martinez"/>
    <s v="PROD019"/>
    <x v="3"/>
    <n v="44"/>
    <n v="2"/>
    <n v="88"/>
    <x v="1"/>
    <x v="2"/>
    <s v="Amazon Logistics"/>
    <x v="2"/>
    <x v="6"/>
    <s v="Pending"/>
    <s v="Pending"/>
    <n v="0"/>
    <n v="0"/>
    <n v="1"/>
    <n v="0"/>
    <n v="0"/>
  </r>
  <r>
    <s v="ORD0010"/>
    <x v="9"/>
    <m/>
    <m/>
    <x v="0"/>
    <x v="2"/>
    <s v="CUST019"/>
    <s v="Ava Robinson"/>
    <s v="PROD003"/>
    <x v="2"/>
    <n v="141"/>
    <n v="4"/>
    <n v="564"/>
    <x v="4"/>
    <x v="2"/>
    <s v="DHL"/>
    <x v="0"/>
    <x v="7"/>
    <s v="Pending"/>
    <s v="Pending"/>
    <n v="0"/>
    <n v="0"/>
    <n v="1"/>
    <n v="0"/>
    <n v="0"/>
  </r>
  <r>
    <s v="ORD0011"/>
    <x v="10"/>
    <m/>
    <d v="2023-05-08T00:00:00"/>
    <x v="3"/>
    <x v="0"/>
    <s v="CUST046"/>
    <s v="Emily Johnson"/>
    <s v="PROD014"/>
    <x v="2"/>
    <n v="249"/>
    <n v="1"/>
    <n v="249"/>
    <x v="3"/>
    <x v="0"/>
    <s v="USPS"/>
    <x v="3"/>
    <x v="8"/>
    <s v="Pending"/>
    <s v="Pending"/>
    <n v="0"/>
    <n v="1"/>
    <n v="1"/>
    <n v="0"/>
    <n v="0"/>
  </r>
  <r>
    <s v="ORD0012"/>
    <x v="11"/>
    <m/>
    <m/>
    <x v="7"/>
    <x v="2"/>
    <s v="CUST045"/>
    <s v="Emily Johnson"/>
    <s v="PROD014"/>
    <x v="3"/>
    <n v="247"/>
    <n v="3"/>
    <n v="741"/>
    <x v="3"/>
    <x v="2"/>
    <s v="FedEx"/>
    <x v="3"/>
    <x v="8"/>
    <s v="Pending"/>
    <s v="Pending"/>
    <n v="0"/>
    <n v="0"/>
    <n v="1"/>
    <n v="0"/>
    <n v="0"/>
  </r>
  <r>
    <s v="ORD0013"/>
    <x v="12"/>
    <m/>
    <d v="2023-02-28T00:00:00"/>
    <x v="1"/>
    <x v="0"/>
    <s v="CUST023"/>
    <s v="Charlotte Reed"/>
    <s v="PROD006"/>
    <x v="3"/>
    <n v="96"/>
    <n v="1"/>
    <n v="96"/>
    <x v="0"/>
    <x v="0"/>
    <s v="Amazon Logistics"/>
    <x v="2"/>
    <x v="9"/>
    <s v="Pending"/>
    <s v="Pending"/>
    <n v="0"/>
    <n v="1"/>
    <n v="1"/>
    <n v="0"/>
    <n v="0"/>
  </r>
  <r>
    <s v="ORD0014"/>
    <x v="13"/>
    <m/>
    <d v="2023-02-25T00:00:00"/>
    <x v="1"/>
    <x v="0"/>
    <s v="CUST033"/>
    <s v="Hazel Rivera"/>
    <s v="PROD017"/>
    <x v="4"/>
    <n v="74"/>
    <n v="5"/>
    <n v="370"/>
    <x v="0"/>
    <x v="0"/>
    <s v="Amazon Logistics"/>
    <x v="3"/>
    <x v="10"/>
    <s v="Pending"/>
    <s v="Pending"/>
    <n v="0"/>
    <n v="1"/>
    <n v="1"/>
    <n v="0"/>
    <n v="0"/>
  </r>
  <r>
    <s v="ORD0015"/>
    <x v="14"/>
    <m/>
    <d v="2023-09-02T00:00:00"/>
    <x v="5"/>
    <x v="0"/>
    <s v="CUST033"/>
    <s v="Hazel Rivera"/>
    <s v="PROD005"/>
    <x v="2"/>
    <n v="27"/>
    <n v="1"/>
    <n v="27"/>
    <x v="1"/>
    <x v="0"/>
    <s v="Amazon Logistics"/>
    <x v="2"/>
    <x v="11"/>
    <s v="Pending"/>
    <s v="Pending"/>
    <n v="0"/>
    <n v="1"/>
    <n v="1"/>
    <n v="0"/>
    <n v="0"/>
  </r>
  <r>
    <s v="ORD0016"/>
    <x v="15"/>
    <m/>
    <m/>
    <x v="1"/>
    <x v="2"/>
    <s v="CUST047"/>
    <s v="Scarlett Murphy"/>
    <s v="PROD005"/>
    <x v="2"/>
    <n v="27"/>
    <n v="3"/>
    <n v="81"/>
    <x v="4"/>
    <x v="2"/>
    <s v="Amazon Logistics"/>
    <x v="2"/>
    <x v="11"/>
    <s v="Pending"/>
    <s v="Pending"/>
    <n v="0"/>
    <n v="0"/>
    <n v="1"/>
    <n v="0"/>
    <n v="0"/>
  </r>
  <r>
    <s v="ORD0017"/>
    <x v="16"/>
    <d v="2023-07-01T00:00:00"/>
    <m/>
    <x v="8"/>
    <x v="1"/>
    <s v="CUST045"/>
    <s v="Emily Johnson"/>
    <s v="PROD015"/>
    <x v="1"/>
    <n v="21"/>
    <n v="3"/>
    <n v="63"/>
    <x v="1"/>
    <x v="1"/>
    <s v="DHL"/>
    <x v="4"/>
    <x v="12"/>
    <n v="3"/>
    <s v="Slow"/>
    <n v="63"/>
    <n v="0"/>
    <n v="1"/>
    <n v="0"/>
    <n v="1"/>
  </r>
  <r>
    <s v="ORD0018"/>
    <x v="17"/>
    <m/>
    <m/>
    <x v="4"/>
    <x v="2"/>
    <s v="CUST011"/>
    <s v="Unknown Customer"/>
    <s v="PROD008"/>
    <x v="4"/>
    <n v="70"/>
    <n v="5"/>
    <n v="350"/>
    <x v="2"/>
    <x v="2"/>
    <s v="Amazon Logistics"/>
    <x v="4"/>
    <x v="13"/>
    <s v="Pending"/>
    <s v="Pending"/>
    <n v="0"/>
    <n v="0"/>
    <n v="1"/>
    <n v="0"/>
    <n v="0"/>
  </r>
  <r>
    <s v="ORD0019"/>
    <x v="18"/>
    <m/>
    <m/>
    <x v="5"/>
    <x v="2"/>
    <s v="CUST041"/>
    <s v="Jacob Price"/>
    <s v="PROD006"/>
    <x v="2"/>
    <n v="94"/>
    <n v="4"/>
    <n v="376"/>
    <x v="1"/>
    <x v="2"/>
    <s v="USPS"/>
    <x v="2"/>
    <x v="9"/>
    <s v="Pending"/>
    <s v="Pending"/>
    <n v="0"/>
    <n v="0"/>
    <n v="1"/>
    <n v="0"/>
    <n v="0"/>
  </r>
  <r>
    <s v="ORD0020"/>
    <x v="19"/>
    <m/>
    <m/>
    <x v="6"/>
    <x v="2"/>
    <s v="CUST025"/>
    <s v="Emma King"/>
    <s v="PROD001"/>
    <x v="0"/>
    <n v="813"/>
    <n v="2"/>
    <n v="1626"/>
    <x v="1"/>
    <x v="2"/>
    <s v="FedEx"/>
    <x v="3"/>
    <x v="14"/>
    <s v="Pending"/>
    <s v="Pending"/>
    <n v="0"/>
    <n v="0"/>
    <n v="1"/>
    <n v="0"/>
    <n v="0"/>
  </r>
  <r>
    <s v="ORD0021"/>
    <x v="20"/>
    <m/>
    <m/>
    <x v="2"/>
    <x v="2"/>
    <s v="CUST013"/>
    <s v="Unknown Customer"/>
    <s v="PROD015"/>
    <x v="3"/>
    <n v="21"/>
    <n v="4"/>
    <n v="84"/>
    <x v="2"/>
    <x v="2"/>
    <s v="Amazon Logistics"/>
    <x v="4"/>
    <x v="12"/>
    <s v="Pending"/>
    <s v="Pending"/>
    <n v="0"/>
    <n v="0"/>
    <n v="1"/>
    <n v="0"/>
    <n v="0"/>
  </r>
  <r>
    <s v="ORD0022"/>
    <x v="21"/>
    <m/>
    <m/>
    <x v="4"/>
    <x v="2"/>
    <s v="CUST023"/>
    <s v="Charlotte Reed"/>
    <s v="PROD012"/>
    <x v="4"/>
    <n v="46"/>
    <n v="5"/>
    <n v="230"/>
    <x v="2"/>
    <x v="2"/>
    <s v="USPS"/>
    <x v="0"/>
    <x v="0"/>
    <s v="Pending"/>
    <s v="Pending"/>
    <n v="0"/>
    <n v="0"/>
    <n v="1"/>
    <n v="0"/>
    <n v="0"/>
  </r>
  <r>
    <s v="ORD0023"/>
    <x v="15"/>
    <m/>
    <d v="2023-02-14T00:00:00"/>
    <x v="1"/>
    <x v="0"/>
    <s v="CUST016"/>
    <s v="Unknown Customer"/>
    <s v="PROD010"/>
    <x v="4"/>
    <n v="58"/>
    <n v="3"/>
    <n v="174"/>
    <x v="3"/>
    <x v="0"/>
    <s v="Amazon Logistics"/>
    <x v="2"/>
    <x v="3"/>
    <s v="Pending"/>
    <s v="Pending"/>
    <n v="0"/>
    <n v="1"/>
    <n v="1"/>
    <n v="0"/>
    <n v="0"/>
  </r>
  <r>
    <s v="ORD0024"/>
    <x v="22"/>
    <d v="2023-11-05T00:00:00"/>
    <m/>
    <x v="4"/>
    <x v="1"/>
    <s v="CUST028"/>
    <s v="Lily Bennett"/>
    <s v="PROD006"/>
    <x v="4"/>
    <n v="96"/>
    <n v="5"/>
    <n v="480"/>
    <x v="3"/>
    <x v="1"/>
    <s v="Amazon Logistics"/>
    <x v="2"/>
    <x v="9"/>
    <n v="3"/>
    <s v="Slow"/>
    <n v="480"/>
    <n v="0"/>
    <n v="1"/>
    <n v="0"/>
    <n v="1"/>
  </r>
  <r>
    <s v="ORD0025"/>
    <x v="23"/>
    <d v="2023-05-30T00:00:00"/>
    <m/>
    <x v="3"/>
    <x v="1"/>
    <s v="CUST040"/>
    <s v="Benjamin Clark"/>
    <s v="PROD002"/>
    <x v="2"/>
    <n v="43"/>
    <n v="1"/>
    <n v="43"/>
    <x v="4"/>
    <x v="1"/>
    <s v="Amazon Logistics"/>
    <x v="1"/>
    <x v="15"/>
    <n v="2"/>
    <s v="Fast"/>
    <n v="43"/>
    <n v="0"/>
    <n v="1"/>
    <n v="1"/>
    <n v="1"/>
  </r>
  <r>
    <s v="ORD0026"/>
    <x v="24"/>
    <d v="2023-10-21T00:00:00"/>
    <m/>
    <x v="2"/>
    <x v="1"/>
    <s v="CUST027"/>
    <s v="Hazel Brooks"/>
    <s v="PROD022"/>
    <x v="2"/>
    <n v="64"/>
    <n v="4"/>
    <n v="256"/>
    <x v="4"/>
    <x v="1"/>
    <s v="USPS"/>
    <x v="2"/>
    <x v="16"/>
    <n v="6"/>
    <s v="Slow"/>
    <n v="256"/>
    <n v="0"/>
    <n v="1"/>
    <n v="0"/>
    <n v="1"/>
  </r>
  <r>
    <s v="ORD0027"/>
    <x v="25"/>
    <m/>
    <m/>
    <x v="9"/>
    <x v="2"/>
    <s v="CUST018"/>
    <s v="Unknown Customer"/>
    <s v="PROD008"/>
    <x v="2"/>
    <n v="70"/>
    <n v="2"/>
    <n v="140"/>
    <x v="3"/>
    <x v="2"/>
    <s v="Amazon Logistics"/>
    <x v="4"/>
    <x v="13"/>
    <s v="Pending"/>
    <s v="Pending"/>
    <n v="0"/>
    <n v="0"/>
    <n v="1"/>
    <n v="0"/>
    <n v="0"/>
  </r>
  <r>
    <s v="ORD0028"/>
    <x v="26"/>
    <m/>
    <m/>
    <x v="2"/>
    <x v="2"/>
    <s v="CUST018"/>
    <s v="Unknown Customer"/>
    <s v="PROD018"/>
    <x v="3"/>
    <n v="97"/>
    <n v="3"/>
    <n v="291"/>
    <x v="1"/>
    <x v="2"/>
    <s v="Amazon Logistics"/>
    <x v="1"/>
    <x v="1"/>
    <s v="Pending"/>
    <s v="Pending"/>
    <n v="0"/>
    <n v="0"/>
    <n v="1"/>
    <n v="0"/>
    <n v="0"/>
  </r>
  <r>
    <s v="ORD0029"/>
    <x v="27"/>
    <m/>
    <d v="2023-10-10T00:00:00"/>
    <x v="2"/>
    <x v="0"/>
    <s v="CUST007"/>
    <s v="Unknown Customer"/>
    <s v="PROD021"/>
    <x v="1"/>
    <n v="37"/>
    <n v="3"/>
    <n v="111"/>
    <x v="0"/>
    <x v="0"/>
    <s v="DHL"/>
    <x v="0"/>
    <x v="5"/>
    <s v="Pending"/>
    <s v="Pending"/>
    <n v="0"/>
    <n v="1"/>
    <n v="1"/>
    <n v="0"/>
    <n v="0"/>
  </r>
  <r>
    <s v="ORD0030"/>
    <x v="28"/>
    <m/>
    <m/>
    <x v="1"/>
    <x v="2"/>
    <s v="CUST008"/>
    <s v="Unknown Customer"/>
    <s v="PROD008"/>
    <x v="0"/>
    <n v="69"/>
    <n v="5"/>
    <n v="345"/>
    <x v="3"/>
    <x v="2"/>
    <s v="Amazon Logistics"/>
    <x v="4"/>
    <x v="13"/>
    <s v="Pending"/>
    <s v="Pending"/>
    <n v="0"/>
    <n v="0"/>
    <n v="1"/>
    <n v="0"/>
    <n v="0"/>
  </r>
  <r>
    <s v="ORD0031"/>
    <x v="29"/>
    <m/>
    <m/>
    <x v="10"/>
    <x v="2"/>
    <s v="CUST014"/>
    <s v="Unknown Customer"/>
    <s v="PROD002"/>
    <x v="0"/>
    <n v="42"/>
    <n v="5"/>
    <n v="210"/>
    <x v="3"/>
    <x v="2"/>
    <s v="UPS"/>
    <x v="1"/>
    <x v="15"/>
    <s v="Pending"/>
    <s v="Pending"/>
    <n v="0"/>
    <n v="0"/>
    <n v="1"/>
    <n v="0"/>
    <n v="0"/>
  </r>
  <r>
    <s v="ORD0032"/>
    <x v="30"/>
    <m/>
    <d v="2023-06-22T00:00:00"/>
    <x v="8"/>
    <x v="0"/>
    <s v="CUST037"/>
    <s v="Emily Johnson"/>
    <s v="PROD009"/>
    <x v="1"/>
    <n v="11"/>
    <n v="5"/>
    <n v="55"/>
    <x v="4"/>
    <x v="0"/>
    <s v="FedEx"/>
    <x v="4"/>
    <x v="17"/>
    <s v="Pending"/>
    <s v="Pending"/>
    <n v="0"/>
    <n v="1"/>
    <n v="1"/>
    <n v="0"/>
    <n v="0"/>
  </r>
  <r>
    <s v="ORD0033"/>
    <x v="31"/>
    <d v="2023-05-23T00:00:00"/>
    <m/>
    <x v="3"/>
    <x v="1"/>
    <s v="CUST016"/>
    <s v="Unknown Customer"/>
    <s v="PROD005"/>
    <x v="2"/>
    <n v="27"/>
    <n v="2"/>
    <n v="54"/>
    <x v="0"/>
    <x v="1"/>
    <s v="USPS"/>
    <x v="2"/>
    <x v="11"/>
    <n v="1"/>
    <s v="Fast"/>
    <n v="54"/>
    <n v="0"/>
    <n v="1"/>
    <n v="1"/>
    <n v="1"/>
  </r>
  <r>
    <s v="ORD0034"/>
    <x v="32"/>
    <m/>
    <m/>
    <x v="4"/>
    <x v="2"/>
    <s v="CUST025"/>
    <s v="Unknown Customer"/>
    <s v="PROD015"/>
    <x v="2"/>
    <n v="21"/>
    <n v="1"/>
    <n v="21"/>
    <x v="3"/>
    <x v="2"/>
    <s v="DHL"/>
    <x v="4"/>
    <x v="12"/>
    <s v="Pending"/>
    <s v="Pending"/>
    <n v="0"/>
    <n v="0"/>
    <n v="1"/>
    <n v="0"/>
    <n v="0"/>
  </r>
  <r>
    <s v="ORD0035"/>
    <x v="33"/>
    <d v="2023-12-26T00:00:00"/>
    <m/>
    <x v="0"/>
    <x v="1"/>
    <s v="CUST032"/>
    <s v="Unknown Customer"/>
    <s v="PROD011"/>
    <x v="2"/>
    <n v="172"/>
    <n v="1"/>
    <n v="172"/>
    <x v="2"/>
    <x v="1"/>
    <s v="USPS"/>
    <x v="3"/>
    <x v="18"/>
    <n v="4"/>
    <s v="Slow"/>
    <n v="172"/>
    <n v="0"/>
    <n v="1"/>
    <n v="0"/>
    <n v="1"/>
  </r>
  <r>
    <s v="ORD0036"/>
    <x v="34"/>
    <m/>
    <m/>
    <x v="7"/>
    <x v="2"/>
    <s v="CUST014"/>
    <s v="Unknown Customer"/>
    <s v="PROD016"/>
    <x v="0"/>
    <n v="212"/>
    <n v="3"/>
    <n v="636"/>
    <x v="3"/>
    <x v="2"/>
    <s v="UPS"/>
    <x v="0"/>
    <x v="19"/>
    <s v="Pending"/>
    <s v="Pending"/>
    <n v="0"/>
    <n v="0"/>
    <n v="1"/>
    <n v="0"/>
    <n v="0"/>
  </r>
  <r>
    <s v="ORD0037"/>
    <x v="35"/>
    <d v="2023-10-22T00:00:00"/>
    <m/>
    <x v="2"/>
    <x v="1"/>
    <s v="CUST044"/>
    <s v="Grace Ward"/>
    <s v="PROD002"/>
    <x v="1"/>
    <n v="41"/>
    <n v="4"/>
    <n v="164"/>
    <x v="1"/>
    <x v="1"/>
    <s v="Amazon Logistics"/>
    <x v="1"/>
    <x v="15"/>
    <n v="5"/>
    <s v="Slow"/>
    <n v="164"/>
    <n v="0"/>
    <n v="1"/>
    <n v="0"/>
    <n v="1"/>
  </r>
  <r>
    <s v="ORD0038"/>
    <x v="36"/>
    <m/>
    <d v="2023-08-24T00:00:00"/>
    <x v="5"/>
    <x v="0"/>
    <s v="CUST028"/>
    <s v="Unknown Customer"/>
    <s v="PROD007"/>
    <x v="0"/>
    <n v="32"/>
    <n v="2"/>
    <n v="64"/>
    <x v="4"/>
    <x v="0"/>
    <s v="FedEx"/>
    <x v="1"/>
    <x v="20"/>
    <s v="Pending"/>
    <s v="Pending"/>
    <n v="0"/>
    <n v="1"/>
    <n v="1"/>
    <n v="0"/>
    <n v="0"/>
  </r>
  <r>
    <s v="ORD0039"/>
    <x v="37"/>
    <m/>
    <m/>
    <x v="0"/>
    <x v="2"/>
    <s v="CUST024"/>
    <s v="Unknown Customer"/>
    <s v="PROD022"/>
    <x v="1"/>
    <n v="66"/>
    <n v="2"/>
    <n v="132"/>
    <x v="0"/>
    <x v="2"/>
    <s v="DHL"/>
    <x v="2"/>
    <x v="16"/>
    <s v="Pending"/>
    <s v="Pending"/>
    <n v="0"/>
    <n v="0"/>
    <n v="1"/>
    <n v="0"/>
    <n v="0"/>
  </r>
  <r>
    <s v="ORD0040"/>
    <x v="38"/>
    <m/>
    <m/>
    <x v="0"/>
    <x v="2"/>
    <s v="CUST006"/>
    <s v="Unknown Customer"/>
    <s v="PROD004"/>
    <x v="1"/>
    <n v="62"/>
    <n v="4"/>
    <n v="248"/>
    <x v="4"/>
    <x v="2"/>
    <s v="UPS"/>
    <x v="1"/>
    <x v="21"/>
    <s v="Pending"/>
    <s v="Pending"/>
    <n v="0"/>
    <n v="0"/>
    <n v="1"/>
    <n v="0"/>
    <n v="0"/>
  </r>
  <r>
    <s v="ORD0041"/>
    <x v="39"/>
    <d v="2023-09-30T00:00:00"/>
    <m/>
    <x v="11"/>
    <x v="1"/>
    <s v="CUST001"/>
    <s v="Unknown Customer"/>
    <s v="PROD011"/>
    <x v="4"/>
    <n v="173"/>
    <n v="4"/>
    <n v="692"/>
    <x v="0"/>
    <x v="1"/>
    <s v="UPS"/>
    <x v="3"/>
    <x v="18"/>
    <n v="7"/>
    <s v="Slow"/>
    <n v="692"/>
    <n v="0"/>
    <n v="1"/>
    <n v="0"/>
    <n v="1"/>
  </r>
  <r>
    <s v="ORD0042"/>
    <x v="40"/>
    <d v="2023-07-18T00:00:00"/>
    <m/>
    <x v="7"/>
    <x v="1"/>
    <s v="CUST007"/>
    <s v="Unknown Customer"/>
    <s v="PROD004"/>
    <x v="4"/>
    <n v="63"/>
    <n v="3"/>
    <n v="189"/>
    <x v="0"/>
    <x v="1"/>
    <s v="UPS"/>
    <x v="1"/>
    <x v="21"/>
    <n v="2"/>
    <s v="Fast"/>
    <n v="189"/>
    <n v="0"/>
    <n v="1"/>
    <n v="1"/>
    <n v="1"/>
  </r>
  <r>
    <s v="ORD0043"/>
    <x v="41"/>
    <m/>
    <d v="2023-02-11T00:00:00"/>
    <x v="1"/>
    <x v="0"/>
    <s v="CUST040"/>
    <s v="Unknown Customer"/>
    <s v="PROD021"/>
    <x v="4"/>
    <n v="36"/>
    <n v="3"/>
    <n v="108"/>
    <x v="4"/>
    <x v="0"/>
    <s v="USPS"/>
    <x v="0"/>
    <x v="5"/>
    <s v="Pending"/>
    <s v="Pending"/>
    <n v="0"/>
    <n v="1"/>
    <n v="1"/>
    <n v="0"/>
    <n v="0"/>
  </r>
  <r>
    <s v="ORD0044"/>
    <x v="42"/>
    <m/>
    <d v="2023-12-23T00:00:00"/>
    <x v="0"/>
    <x v="0"/>
    <s v="CUST006"/>
    <s v="Unknown Customer"/>
    <s v="PROD004"/>
    <x v="3"/>
    <n v="62"/>
    <n v="1"/>
    <n v="62"/>
    <x v="0"/>
    <x v="0"/>
    <s v="Amazon Logistics"/>
    <x v="1"/>
    <x v="21"/>
    <s v="Pending"/>
    <s v="Pending"/>
    <n v="0"/>
    <n v="1"/>
    <n v="1"/>
    <n v="0"/>
    <n v="0"/>
  </r>
  <r>
    <s v="ORD0045"/>
    <x v="43"/>
    <m/>
    <d v="2023-06-14T00:00:00"/>
    <x v="8"/>
    <x v="0"/>
    <s v="CUST042"/>
    <s v="Unknown Customer"/>
    <s v="PROD003"/>
    <x v="3"/>
    <n v="137"/>
    <n v="5"/>
    <n v="685"/>
    <x v="3"/>
    <x v="0"/>
    <s v="FedEx"/>
    <x v="0"/>
    <x v="7"/>
    <s v="Pending"/>
    <s v="Pending"/>
    <n v="0"/>
    <n v="1"/>
    <n v="1"/>
    <n v="0"/>
    <n v="0"/>
  </r>
  <r>
    <s v="ORD0046"/>
    <x v="44"/>
    <d v="2023-12-08T00:00:00"/>
    <m/>
    <x v="0"/>
    <x v="1"/>
    <s v="CUST039"/>
    <s v="Unknown Customer"/>
    <s v="PROD017"/>
    <x v="0"/>
    <n v="73"/>
    <n v="4"/>
    <n v="292"/>
    <x v="1"/>
    <x v="1"/>
    <s v="Amazon Logistics"/>
    <x v="3"/>
    <x v="10"/>
    <n v="4"/>
    <s v="Slow"/>
    <n v="292"/>
    <n v="0"/>
    <n v="1"/>
    <n v="0"/>
    <n v="1"/>
  </r>
  <r>
    <s v="ORD0047"/>
    <x v="45"/>
    <d v="2023-07-19T00:00:00"/>
    <m/>
    <x v="7"/>
    <x v="1"/>
    <s v="CUST041"/>
    <s v="Unknown Customer"/>
    <s v="PROD020"/>
    <x v="0"/>
    <n v="104"/>
    <n v="1"/>
    <n v="104"/>
    <x v="2"/>
    <x v="1"/>
    <s v="Amazon Logistics"/>
    <x v="3"/>
    <x v="4"/>
    <n v="2"/>
    <s v="Fast"/>
    <n v="104"/>
    <n v="0"/>
    <n v="1"/>
    <n v="1"/>
    <n v="1"/>
  </r>
  <r>
    <s v="ORD0048"/>
    <x v="46"/>
    <d v="2023-10-24T00:00:00"/>
    <m/>
    <x v="2"/>
    <x v="1"/>
    <s v="CUST044"/>
    <s v="Unknown Customer"/>
    <s v="PROD006"/>
    <x v="1"/>
    <n v="97"/>
    <n v="1"/>
    <n v="97"/>
    <x v="3"/>
    <x v="1"/>
    <s v="FedEx"/>
    <x v="2"/>
    <x v="9"/>
    <n v="5"/>
    <s v="Slow"/>
    <n v="97"/>
    <n v="0"/>
    <n v="1"/>
    <n v="0"/>
    <n v="1"/>
  </r>
  <r>
    <s v="ORD0049"/>
    <x v="47"/>
    <m/>
    <m/>
    <x v="3"/>
    <x v="2"/>
    <s v="CUST026"/>
    <s v="Unknown Customer"/>
    <s v="PROD017"/>
    <x v="2"/>
    <n v="73"/>
    <n v="5"/>
    <n v="365"/>
    <x v="0"/>
    <x v="2"/>
    <s v="Amazon Logistics"/>
    <x v="3"/>
    <x v="10"/>
    <s v="Pending"/>
    <s v="Pending"/>
    <n v="0"/>
    <n v="0"/>
    <n v="1"/>
    <n v="0"/>
    <n v="0"/>
  </r>
  <r>
    <s v="ORD0050"/>
    <x v="48"/>
    <d v="2023-02-19T00:00:00"/>
    <m/>
    <x v="1"/>
    <x v="1"/>
    <s v="CUST040"/>
    <s v="Unknown Customer"/>
    <s v="PROD005"/>
    <x v="1"/>
    <n v="27"/>
    <n v="3"/>
    <n v="81"/>
    <x v="3"/>
    <x v="1"/>
    <s v="UPS"/>
    <x v="2"/>
    <x v="11"/>
    <n v="7"/>
    <s v="Slow"/>
    <n v="81"/>
    <n v="0"/>
    <n v="1"/>
    <n v="0"/>
    <n v="1"/>
  </r>
  <r>
    <s v="ORD0051"/>
    <x v="20"/>
    <m/>
    <m/>
    <x v="2"/>
    <x v="2"/>
    <s v="CUST041"/>
    <s v="Unknown Customer"/>
    <s v="PROD021"/>
    <x v="0"/>
    <n v="37"/>
    <n v="1"/>
    <n v="37"/>
    <x v="0"/>
    <x v="2"/>
    <s v="UPS"/>
    <x v="0"/>
    <x v="5"/>
    <s v="Pending"/>
    <s v="Pending"/>
    <n v="0"/>
    <n v="0"/>
    <n v="1"/>
    <n v="0"/>
    <n v="0"/>
  </r>
  <r>
    <s v="ORD0052"/>
    <x v="49"/>
    <d v="2023-02-01T00:00:00"/>
    <m/>
    <x v="9"/>
    <x v="1"/>
    <s v="CUST008"/>
    <s v="Unknown Customer"/>
    <s v="PROD015"/>
    <x v="0"/>
    <n v="22"/>
    <n v="1"/>
    <n v="22"/>
    <x v="4"/>
    <x v="1"/>
    <s v="FedEx"/>
    <x v="4"/>
    <x v="12"/>
    <n v="2"/>
    <s v="Fast"/>
    <n v="22"/>
    <n v="0"/>
    <n v="1"/>
    <n v="1"/>
    <n v="1"/>
  </r>
  <r>
    <s v="ORD0053"/>
    <x v="9"/>
    <d v="2024-01-01T00:00:00"/>
    <m/>
    <x v="0"/>
    <x v="1"/>
    <s v="CUST011"/>
    <s v="Unknown Customer"/>
    <s v="PROD016"/>
    <x v="3"/>
    <n v="218"/>
    <n v="5"/>
    <n v="1090"/>
    <x v="2"/>
    <x v="1"/>
    <s v="DHL"/>
    <x v="0"/>
    <x v="19"/>
    <n v="3"/>
    <s v="Slow"/>
    <n v="1090"/>
    <n v="0"/>
    <n v="1"/>
    <n v="0"/>
    <n v="1"/>
  </r>
  <r>
    <s v="ORD0054"/>
    <x v="50"/>
    <m/>
    <d v="2023-03-13T00:00:00"/>
    <x v="10"/>
    <x v="0"/>
    <s v="CUST018"/>
    <s v="Unknown Customer"/>
    <s v="PROD004"/>
    <x v="0"/>
    <n v="64"/>
    <n v="1"/>
    <n v="64"/>
    <x v="0"/>
    <x v="0"/>
    <s v="USPS"/>
    <x v="1"/>
    <x v="21"/>
    <s v="Pending"/>
    <s v="Pending"/>
    <n v="0"/>
    <n v="1"/>
    <n v="1"/>
    <n v="0"/>
    <n v="0"/>
  </r>
  <r>
    <s v="ORD0055"/>
    <x v="4"/>
    <d v="2023-02-06T00:00:00"/>
    <m/>
    <x v="1"/>
    <x v="1"/>
    <s v="CUST037"/>
    <s v="Unknown Customer"/>
    <s v="PROD021"/>
    <x v="3"/>
    <n v="36"/>
    <n v="4"/>
    <n v="144"/>
    <x v="2"/>
    <x v="1"/>
    <s v="Amazon Logistics"/>
    <x v="0"/>
    <x v="5"/>
    <n v="4"/>
    <s v="Slow"/>
    <n v="144"/>
    <n v="0"/>
    <n v="1"/>
    <n v="0"/>
    <n v="1"/>
  </r>
  <r>
    <s v="ORD0056"/>
    <x v="51"/>
    <d v="2023-10-21T00:00:00"/>
    <m/>
    <x v="2"/>
    <x v="1"/>
    <s v="CUST017"/>
    <s v="Unknown Customer"/>
    <s v="PROD004"/>
    <x v="4"/>
    <n v="65"/>
    <n v="1"/>
    <n v="65"/>
    <x v="3"/>
    <x v="1"/>
    <s v="FedEx"/>
    <x v="1"/>
    <x v="21"/>
    <n v="3"/>
    <s v="Slow"/>
    <n v="65"/>
    <n v="0"/>
    <n v="1"/>
    <n v="0"/>
    <n v="1"/>
  </r>
  <r>
    <s v="ORD0057"/>
    <x v="52"/>
    <d v="2023-01-09T00:00:00"/>
    <m/>
    <x v="9"/>
    <x v="1"/>
    <s v="CUST025"/>
    <s v="Unknown Customer"/>
    <s v="PROD005"/>
    <x v="3"/>
    <n v="26"/>
    <n v="1"/>
    <n v="26"/>
    <x v="0"/>
    <x v="1"/>
    <s v="DHL"/>
    <x v="2"/>
    <x v="11"/>
    <n v="2"/>
    <s v="Fast"/>
    <n v="26"/>
    <n v="0"/>
    <n v="1"/>
    <n v="1"/>
    <n v="1"/>
  </r>
  <r>
    <s v="ORD0058"/>
    <x v="53"/>
    <m/>
    <m/>
    <x v="3"/>
    <x v="2"/>
    <s v="CUST021"/>
    <s v="Unknown Customer"/>
    <s v="PROD009"/>
    <x v="0"/>
    <n v="11"/>
    <n v="5"/>
    <n v="55"/>
    <x v="1"/>
    <x v="2"/>
    <s v="FedEx"/>
    <x v="4"/>
    <x v="17"/>
    <s v="Pending"/>
    <s v="Pending"/>
    <n v="0"/>
    <n v="0"/>
    <n v="1"/>
    <n v="0"/>
    <n v="0"/>
  </r>
  <r>
    <s v="ORD0059"/>
    <x v="54"/>
    <m/>
    <d v="2023-04-05T00:00:00"/>
    <x v="6"/>
    <x v="0"/>
    <s v="CUST003"/>
    <s v="Unknown Customer"/>
    <s v="PROD013"/>
    <x v="0"/>
    <n v="195"/>
    <n v="4"/>
    <n v="780"/>
    <x v="2"/>
    <x v="0"/>
    <s v="FedEx"/>
    <x v="0"/>
    <x v="2"/>
    <s v="Pending"/>
    <s v="Pending"/>
    <n v="0"/>
    <n v="1"/>
    <n v="1"/>
    <n v="0"/>
    <n v="0"/>
  </r>
  <r>
    <s v="ORD0060"/>
    <x v="2"/>
    <m/>
    <d v="2023-10-12T00:00:00"/>
    <x v="2"/>
    <x v="0"/>
    <s v="CUST019"/>
    <s v="Unknown Customer"/>
    <s v="PROD019"/>
    <x v="4"/>
    <n v="44"/>
    <n v="5"/>
    <n v="220"/>
    <x v="0"/>
    <x v="0"/>
    <s v="USPS"/>
    <x v="2"/>
    <x v="6"/>
    <s v="Pending"/>
    <s v="Pending"/>
    <n v="0"/>
    <n v="1"/>
    <n v="1"/>
    <n v="0"/>
    <n v="0"/>
  </r>
  <r>
    <s v="ORD0061"/>
    <x v="55"/>
    <m/>
    <m/>
    <x v="11"/>
    <x v="2"/>
    <s v="CUST035"/>
    <s v="Unknown Customer"/>
    <s v="PROD008"/>
    <x v="1"/>
    <n v="69"/>
    <n v="4"/>
    <n v="276"/>
    <x v="4"/>
    <x v="2"/>
    <s v="DHL"/>
    <x v="4"/>
    <x v="13"/>
    <s v="Pending"/>
    <s v="Pending"/>
    <n v="0"/>
    <n v="0"/>
    <n v="1"/>
    <n v="0"/>
    <n v="0"/>
  </r>
  <r>
    <s v="ORD0062"/>
    <x v="56"/>
    <d v="2023-11-29T00:00:00"/>
    <m/>
    <x v="4"/>
    <x v="1"/>
    <s v="CUST022"/>
    <s v="Unknown Customer"/>
    <s v="PROD001"/>
    <x v="0"/>
    <n v="815"/>
    <n v="4"/>
    <n v="3260"/>
    <x v="1"/>
    <x v="1"/>
    <s v="USPS"/>
    <x v="3"/>
    <x v="14"/>
    <n v="7"/>
    <s v="Slow"/>
    <n v="3260"/>
    <n v="0"/>
    <n v="1"/>
    <n v="0"/>
    <n v="1"/>
  </r>
  <r>
    <s v="ORD0063"/>
    <x v="57"/>
    <m/>
    <m/>
    <x v="3"/>
    <x v="2"/>
    <s v="CUST004"/>
    <s v="Unknown Customer"/>
    <s v="PROD005"/>
    <x v="1"/>
    <n v="27"/>
    <n v="1"/>
    <n v="27"/>
    <x v="4"/>
    <x v="2"/>
    <s v="Amazon Logistics"/>
    <x v="2"/>
    <x v="11"/>
    <s v="Pending"/>
    <s v="Pending"/>
    <n v="0"/>
    <n v="0"/>
    <n v="1"/>
    <n v="0"/>
    <n v="0"/>
  </r>
  <r>
    <s v="ORD0064"/>
    <x v="38"/>
    <d v="2023-12-29T00:00:00"/>
    <m/>
    <x v="0"/>
    <x v="1"/>
    <s v="CUST048"/>
    <s v="Unknown Customer"/>
    <s v="PROD003"/>
    <x v="4"/>
    <n v="139"/>
    <n v="5"/>
    <n v="695"/>
    <x v="0"/>
    <x v="1"/>
    <s v="USPS"/>
    <x v="0"/>
    <x v="7"/>
    <n v="4"/>
    <s v="Slow"/>
    <n v="695"/>
    <n v="0"/>
    <n v="1"/>
    <n v="0"/>
    <n v="1"/>
  </r>
  <r>
    <s v="ORD0065"/>
    <x v="51"/>
    <m/>
    <d v="2023-10-20T00:00:00"/>
    <x v="2"/>
    <x v="0"/>
    <s v="CUST009"/>
    <s v="Unknown Customer"/>
    <s v="PROD008"/>
    <x v="2"/>
    <n v="69"/>
    <n v="3"/>
    <n v="207"/>
    <x v="2"/>
    <x v="0"/>
    <s v="Amazon Logistics"/>
    <x v="4"/>
    <x v="13"/>
    <s v="Pending"/>
    <s v="Pending"/>
    <n v="0"/>
    <n v="1"/>
    <n v="1"/>
    <n v="0"/>
    <n v="0"/>
  </r>
  <r>
    <s v="ORD0066"/>
    <x v="58"/>
    <m/>
    <d v="2023-05-21T00:00:00"/>
    <x v="3"/>
    <x v="0"/>
    <s v="CUST009"/>
    <s v="Unknown Customer"/>
    <s v="PROD019"/>
    <x v="4"/>
    <n v="42"/>
    <n v="1"/>
    <n v="42"/>
    <x v="0"/>
    <x v="0"/>
    <s v="DHL"/>
    <x v="2"/>
    <x v="6"/>
    <s v="Pending"/>
    <s v="Pending"/>
    <n v="0"/>
    <n v="1"/>
    <n v="1"/>
    <n v="0"/>
    <n v="0"/>
  </r>
  <r>
    <s v="ORD0067"/>
    <x v="59"/>
    <d v="2023-07-30T00:00:00"/>
    <m/>
    <x v="7"/>
    <x v="1"/>
    <s v="CUST050"/>
    <s v="Unknown Customer"/>
    <s v="PROD007"/>
    <x v="0"/>
    <n v="31"/>
    <n v="4"/>
    <n v="124"/>
    <x v="1"/>
    <x v="1"/>
    <s v="UPS"/>
    <x v="1"/>
    <x v="20"/>
    <n v="2"/>
    <s v="Fast"/>
    <n v="124"/>
    <n v="0"/>
    <n v="1"/>
    <n v="1"/>
    <n v="1"/>
  </r>
  <r>
    <s v="ORD0068"/>
    <x v="42"/>
    <m/>
    <m/>
    <x v="0"/>
    <x v="2"/>
    <s v="CUST045"/>
    <s v="Unknown Customer"/>
    <s v="PROD020"/>
    <x v="4"/>
    <n v="104"/>
    <n v="3"/>
    <n v="312"/>
    <x v="1"/>
    <x v="2"/>
    <s v="UPS"/>
    <x v="3"/>
    <x v="4"/>
    <s v="Pending"/>
    <s v="Pending"/>
    <n v="0"/>
    <n v="0"/>
    <n v="1"/>
    <n v="0"/>
    <n v="0"/>
  </r>
  <r>
    <s v="ORD0069"/>
    <x v="60"/>
    <m/>
    <d v="2023-07-07T00:00:00"/>
    <x v="7"/>
    <x v="0"/>
    <s v="CUST044"/>
    <s v="Unknown Customer"/>
    <s v="PROD010"/>
    <x v="1"/>
    <n v="58"/>
    <n v="2"/>
    <n v="116"/>
    <x v="0"/>
    <x v="0"/>
    <s v="USPS"/>
    <x v="2"/>
    <x v="3"/>
    <s v="Pending"/>
    <s v="Pending"/>
    <n v="0"/>
    <n v="1"/>
    <n v="1"/>
    <n v="0"/>
    <n v="0"/>
  </r>
  <r>
    <s v="ORD0070"/>
    <x v="26"/>
    <m/>
    <d v="2023-10-10T00:00:00"/>
    <x v="2"/>
    <x v="0"/>
    <s v="CUST009"/>
    <s v="Unknown Customer"/>
    <s v="PROD004"/>
    <x v="4"/>
    <n v="62"/>
    <n v="2"/>
    <n v="124"/>
    <x v="4"/>
    <x v="0"/>
    <s v="DHL"/>
    <x v="1"/>
    <x v="21"/>
    <s v="Pending"/>
    <s v="Pending"/>
    <n v="0"/>
    <n v="1"/>
    <n v="1"/>
    <n v="0"/>
    <n v="0"/>
  </r>
  <r>
    <s v="ORD0071"/>
    <x v="42"/>
    <d v="2023-12-25T00:00:00"/>
    <m/>
    <x v="0"/>
    <x v="1"/>
    <s v="CUST006"/>
    <s v="Unknown Customer"/>
    <s v="PROD019"/>
    <x v="1"/>
    <n v="43"/>
    <n v="1"/>
    <n v="43"/>
    <x v="1"/>
    <x v="1"/>
    <s v="Amazon Logistics"/>
    <x v="2"/>
    <x v="6"/>
    <n v="7"/>
    <s v="Slow"/>
    <n v="43"/>
    <n v="0"/>
    <n v="1"/>
    <n v="0"/>
    <n v="1"/>
  </r>
  <r>
    <s v="ORD0072"/>
    <x v="61"/>
    <m/>
    <m/>
    <x v="10"/>
    <x v="2"/>
    <s v="CUST022"/>
    <s v="Unknown Customer"/>
    <s v="PROD004"/>
    <x v="1"/>
    <n v="62"/>
    <n v="4"/>
    <n v="248"/>
    <x v="4"/>
    <x v="2"/>
    <s v="Amazon Logistics"/>
    <x v="1"/>
    <x v="21"/>
    <s v="Pending"/>
    <s v="Pending"/>
    <n v="0"/>
    <n v="0"/>
    <n v="1"/>
    <n v="0"/>
    <n v="0"/>
  </r>
  <r>
    <s v="ORD0073"/>
    <x v="62"/>
    <m/>
    <d v="2023-07-25T00:00:00"/>
    <x v="7"/>
    <x v="0"/>
    <s v="CUST028"/>
    <s v="Unknown Customer"/>
    <s v="PROD006"/>
    <x v="0"/>
    <n v="95"/>
    <n v="2"/>
    <n v="190"/>
    <x v="2"/>
    <x v="0"/>
    <s v="UPS"/>
    <x v="2"/>
    <x v="9"/>
    <s v="Pending"/>
    <s v="Pending"/>
    <n v="0"/>
    <n v="1"/>
    <n v="1"/>
    <n v="0"/>
    <n v="0"/>
  </r>
  <r>
    <s v="ORD0074"/>
    <x v="63"/>
    <d v="2023-01-24T00:00:00"/>
    <m/>
    <x v="9"/>
    <x v="1"/>
    <s v="CUST016"/>
    <s v="Unknown Customer"/>
    <s v="PROD021"/>
    <x v="3"/>
    <n v="36"/>
    <n v="4"/>
    <n v="144"/>
    <x v="0"/>
    <x v="1"/>
    <s v="FedEx"/>
    <x v="0"/>
    <x v="5"/>
    <n v="6"/>
    <s v="Slow"/>
    <n v="144"/>
    <n v="0"/>
    <n v="1"/>
    <n v="0"/>
    <n v="1"/>
  </r>
  <r>
    <s v="ORD0075"/>
    <x v="64"/>
    <m/>
    <m/>
    <x v="3"/>
    <x v="2"/>
    <s v="CUST042"/>
    <s v="Unknown Customer"/>
    <s v="PROD017"/>
    <x v="1"/>
    <n v="73"/>
    <n v="5"/>
    <n v="365"/>
    <x v="0"/>
    <x v="2"/>
    <s v="DHL"/>
    <x v="3"/>
    <x v="10"/>
    <s v="Pending"/>
    <s v="Pending"/>
    <n v="0"/>
    <n v="0"/>
    <n v="1"/>
    <n v="0"/>
    <n v="0"/>
  </r>
  <r>
    <s v="ORD0076"/>
    <x v="65"/>
    <d v="2023-09-09T00:00:00"/>
    <m/>
    <x v="11"/>
    <x v="1"/>
    <s v="CUST023"/>
    <s v="Unknown Customer"/>
    <s v="PROD019"/>
    <x v="0"/>
    <n v="43"/>
    <n v="4"/>
    <n v="172"/>
    <x v="4"/>
    <x v="1"/>
    <s v="DHL"/>
    <x v="2"/>
    <x v="6"/>
    <n v="6"/>
    <s v="Slow"/>
    <n v="172"/>
    <n v="0"/>
    <n v="1"/>
    <n v="0"/>
    <n v="1"/>
  </r>
  <r>
    <s v="ORD0077"/>
    <x v="22"/>
    <d v="2023-11-04T00:00:00"/>
    <m/>
    <x v="4"/>
    <x v="1"/>
    <s v="CUST004"/>
    <s v="Unknown Customer"/>
    <s v="PROD016"/>
    <x v="4"/>
    <n v="214"/>
    <n v="5"/>
    <n v="1070"/>
    <x v="4"/>
    <x v="1"/>
    <s v="UPS"/>
    <x v="0"/>
    <x v="19"/>
    <n v="2"/>
    <s v="Fast"/>
    <n v="1070"/>
    <n v="0"/>
    <n v="1"/>
    <n v="1"/>
    <n v="1"/>
  </r>
  <r>
    <s v="ORD0078"/>
    <x v="66"/>
    <m/>
    <d v="2023-12-06T00:00:00"/>
    <x v="0"/>
    <x v="0"/>
    <s v="CUST048"/>
    <s v="Unknown Customer"/>
    <s v="PROD002"/>
    <x v="3"/>
    <n v="42"/>
    <n v="2"/>
    <n v="84"/>
    <x v="0"/>
    <x v="0"/>
    <s v="UPS"/>
    <x v="1"/>
    <x v="15"/>
    <s v="Pending"/>
    <s v="Pending"/>
    <n v="0"/>
    <n v="1"/>
    <n v="1"/>
    <n v="0"/>
    <n v="0"/>
  </r>
  <r>
    <s v="ORD0079"/>
    <x v="7"/>
    <m/>
    <m/>
    <x v="6"/>
    <x v="2"/>
    <s v="CUST048"/>
    <s v="Unknown Customer"/>
    <s v="PROD012"/>
    <x v="0"/>
    <n v="46"/>
    <n v="1"/>
    <n v="46"/>
    <x v="3"/>
    <x v="2"/>
    <s v="UPS"/>
    <x v="0"/>
    <x v="0"/>
    <s v="Pending"/>
    <s v="Pending"/>
    <n v="0"/>
    <n v="0"/>
    <n v="1"/>
    <n v="0"/>
    <n v="0"/>
  </r>
  <r>
    <s v="ORD0080"/>
    <x v="67"/>
    <d v="2023-10-19T00:00:00"/>
    <m/>
    <x v="2"/>
    <x v="1"/>
    <s v="CUST032"/>
    <s v="Unknown Customer"/>
    <s v="PROD018"/>
    <x v="1"/>
    <n v="95"/>
    <n v="4"/>
    <n v="380"/>
    <x v="1"/>
    <x v="1"/>
    <s v="UPS"/>
    <x v="1"/>
    <x v="1"/>
    <n v="3"/>
    <s v="Slow"/>
    <n v="380"/>
    <n v="0"/>
    <n v="1"/>
    <n v="0"/>
    <n v="1"/>
  </r>
  <r>
    <s v="ORD0081"/>
    <x v="68"/>
    <m/>
    <m/>
    <x v="4"/>
    <x v="2"/>
    <s v="CUST001"/>
    <s v="Unknown Customer"/>
    <s v="PROD011"/>
    <x v="4"/>
    <n v="174"/>
    <n v="2"/>
    <n v="348"/>
    <x v="2"/>
    <x v="2"/>
    <s v="UPS"/>
    <x v="3"/>
    <x v="18"/>
    <s v="Pending"/>
    <s v="Pending"/>
    <n v="0"/>
    <n v="0"/>
    <n v="1"/>
    <n v="0"/>
    <n v="0"/>
  </r>
  <r>
    <s v="ORD0082"/>
    <x v="30"/>
    <m/>
    <d v="2023-06-18T00:00:00"/>
    <x v="8"/>
    <x v="0"/>
    <s v="CUST046"/>
    <s v="Unknown Customer"/>
    <s v="PROD005"/>
    <x v="0"/>
    <n v="27"/>
    <n v="5"/>
    <n v="135"/>
    <x v="1"/>
    <x v="0"/>
    <s v="Amazon Logistics"/>
    <x v="2"/>
    <x v="11"/>
    <s v="Pending"/>
    <s v="Pending"/>
    <n v="0"/>
    <n v="1"/>
    <n v="1"/>
    <n v="0"/>
    <n v="0"/>
  </r>
  <r>
    <s v="ORD0083"/>
    <x v="69"/>
    <d v="2023-10-30T00:00:00"/>
    <m/>
    <x v="2"/>
    <x v="1"/>
    <s v="CUST021"/>
    <s v="Unknown Customer"/>
    <s v="PROD005"/>
    <x v="2"/>
    <n v="27"/>
    <n v="4"/>
    <n v="108"/>
    <x v="2"/>
    <x v="1"/>
    <s v="USPS"/>
    <x v="2"/>
    <x v="11"/>
    <n v="2"/>
    <s v="Fast"/>
    <n v="108"/>
    <n v="0"/>
    <n v="1"/>
    <n v="1"/>
    <n v="1"/>
  </r>
  <r>
    <s v="ORD0084"/>
    <x v="33"/>
    <m/>
    <m/>
    <x v="0"/>
    <x v="2"/>
    <s v="CUST015"/>
    <s v="Unknown Customer"/>
    <s v="PROD022"/>
    <x v="2"/>
    <n v="65"/>
    <n v="2"/>
    <n v="130"/>
    <x v="2"/>
    <x v="2"/>
    <s v="DHL"/>
    <x v="2"/>
    <x v="16"/>
    <s v="Pending"/>
    <s v="Pending"/>
    <n v="0"/>
    <n v="0"/>
    <n v="1"/>
    <n v="0"/>
    <n v="0"/>
  </r>
  <r>
    <s v="ORD0085"/>
    <x v="61"/>
    <m/>
    <m/>
    <x v="10"/>
    <x v="2"/>
    <s v="CUST045"/>
    <s v="Unknown Customer"/>
    <s v="PROD019"/>
    <x v="1"/>
    <n v="43"/>
    <n v="5"/>
    <n v="215"/>
    <x v="4"/>
    <x v="2"/>
    <s v="DHL"/>
    <x v="2"/>
    <x v="6"/>
    <s v="Pending"/>
    <s v="Pending"/>
    <n v="0"/>
    <n v="0"/>
    <n v="1"/>
    <n v="0"/>
    <n v="0"/>
  </r>
  <r>
    <s v="ORD0086"/>
    <x v="70"/>
    <m/>
    <m/>
    <x v="4"/>
    <x v="2"/>
    <s v="CUST007"/>
    <s v="Unknown Customer"/>
    <s v="PROD016"/>
    <x v="4"/>
    <n v="210"/>
    <n v="1"/>
    <n v="210"/>
    <x v="2"/>
    <x v="2"/>
    <s v="UPS"/>
    <x v="0"/>
    <x v="19"/>
    <s v="Pending"/>
    <s v="Pending"/>
    <n v="0"/>
    <n v="0"/>
    <n v="1"/>
    <n v="0"/>
    <n v="0"/>
  </r>
  <r>
    <s v="ORD0087"/>
    <x v="56"/>
    <m/>
    <m/>
    <x v="4"/>
    <x v="2"/>
    <s v="CUST043"/>
    <s v="Unknown Customer"/>
    <s v="PROD021"/>
    <x v="2"/>
    <n v="37"/>
    <n v="3"/>
    <n v="111"/>
    <x v="1"/>
    <x v="2"/>
    <s v="UPS"/>
    <x v="0"/>
    <x v="5"/>
    <s v="Pending"/>
    <s v="Pending"/>
    <n v="0"/>
    <n v="0"/>
    <n v="1"/>
    <n v="0"/>
    <n v="0"/>
  </r>
  <r>
    <s v="ORD0088"/>
    <x v="53"/>
    <m/>
    <m/>
    <x v="3"/>
    <x v="2"/>
    <s v="CUST007"/>
    <s v="Unknown Customer"/>
    <s v="PROD001"/>
    <x v="2"/>
    <n v="788"/>
    <n v="4"/>
    <n v="3152"/>
    <x v="4"/>
    <x v="2"/>
    <s v="Amazon Logistics"/>
    <x v="3"/>
    <x v="14"/>
    <s v="Pending"/>
    <s v="Pending"/>
    <n v="0"/>
    <n v="0"/>
    <n v="1"/>
    <n v="0"/>
    <n v="0"/>
  </r>
  <r>
    <s v="ORD0089"/>
    <x v="71"/>
    <m/>
    <m/>
    <x v="7"/>
    <x v="2"/>
    <s v="CUST007"/>
    <s v="Unknown Customer"/>
    <s v="PROD016"/>
    <x v="4"/>
    <n v="217"/>
    <n v="5"/>
    <n v="1085"/>
    <x v="4"/>
    <x v="2"/>
    <s v="FedEx"/>
    <x v="0"/>
    <x v="19"/>
    <s v="Pending"/>
    <s v="Pending"/>
    <n v="0"/>
    <n v="0"/>
    <n v="1"/>
    <n v="0"/>
    <n v="0"/>
  </r>
  <r>
    <s v="ORD0090"/>
    <x v="63"/>
    <m/>
    <m/>
    <x v="9"/>
    <x v="2"/>
    <s v="CUST007"/>
    <s v="Unknown Customer"/>
    <s v="PROD003"/>
    <x v="4"/>
    <n v="138"/>
    <n v="4"/>
    <n v="552"/>
    <x v="1"/>
    <x v="2"/>
    <s v="FedEx"/>
    <x v="0"/>
    <x v="7"/>
    <s v="Pending"/>
    <s v="Pending"/>
    <n v="0"/>
    <n v="0"/>
    <n v="1"/>
    <n v="0"/>
    <n v="0"/>
  </r>
  <r>
    <s v="ORD0091"/>
    <x v="72"/>
    <d v="2023-06-29T00:00:00"/>
    <m/>
    <x v="8"/>
    <x v="1"/>
    <s v="CUST031"/>
    <s v="Unknown Customer"/>
    <s v="PROD001"/>
    <x v="3"/>
    <n v="803"/>
    <n v="2"/>
    <n v="1606"/>
    <x v="0"/>
    <x v="1"/>
    <s v="FedEx"/>
    <x v="3"/>
    <x v="14"/>
    <n v="6"/>
    <s v="Slow"/>
    <n v="1606"/>
    <n v="0"/>
    <n v="1"/>
    <n v="0"/>
    <n v="1"/>
  </r>
  <r>
    <s v="ORD0092"/>
    <x v="73"/>
    <m/>
    <d v="2023-02-25T00:00:00"/>
    <x v="1"/>
    <x v="0"/>
    <s v="CUST013"/>
    <s v="Unknown Customer"/>
    <s v="PROD014"/>
    <x v="0"/>
    <n v="248"/>
    <n v="5"/>
    <n v="1240"/>
    <x v="2"/>
    <x v="0"/>
    <s v="UPS"/>
    <x v="3"/>
    <x v="8"/>
    <s v="Pending"/>
    <s v="Pending"/>
    <n v="0"/>
    <n v="1"/>
    <n v="1"/>
    <n v="0"/>
    <n v="0"/>
  </r>
  <r>
    <s v="ORD0093"/>
    <x v="74"/>
    <d v="2023-02-21T00:00:00"/>
    <m/>
    <x v="1"/>
    <x v="1"/>
    <s v="CUST036"/>
    <s v="Unknown Customer"/>
    <s v="PROD016"/>
    <x v="1"/>
    <n v="210"/>
    <n v="3"/>
    <n v="630"/>
    <x v="0"/>
    <x v="1"/>
    <s v="DHL"/>
    <x v="0"/>
    <x v="19"/>
    <n v="2"/>
    <s v="Fast"/>
    <n v="630"/>
    <n v="0"/>
    <n v="1"/>
    <n v="1"/>
    <n v="1"/>
  </r>
  <r>
    <s v="ORD0094"/>
    <x v="75"/>
    <m/>
    <d v="2023-12-12T00:00:00"/>
    <x v="0"/>
    <x v="0"/>
    <s v="CUST013"/>
    <s v="Unknown Customer"/>
    <s v="PROD004"/>
    <x v="0"/>
    <n v="62"/>
    <n v="2"/>
    <n v="124"/>
    <x v="1"/>
    <x v="0"/>
    <s v="FedEx"/>
    <x v="1"/>
    <x v="21"/>
    <s v="Pending"/>
    <s v="Pending"/>
    <n v="0"/>
    <n v="1"/>
    <n v="1"/>
    <n v="0"/>
    <n v="0"/>
  </r>
  <r>
    <s v="ORD0095"/>
    <x v="76"/>
    <m/>
    <d v="2023-06-12T00:00:00"/>
    <x v="8"/>
    <x v="0"/>
    <s v="CUST043"/>
    <s v="Unknown Customer"/>
    <s v="PROD009"/>
    <x v="2"/>
    <n v="11"/>
    <n v="5"/>
    <n v="55"/>
    <x v="4"/>
    <x v="0"/>
    <s v="Amazon Logistics"/>
    <x v="4"/>
    <x v="17"/>
    <s v="Pending"/>
    <s v="Pending"/>
    <n v="0"/>
    <n v="1"/>
    <n v="1"/>
    <n v="0"/>
    <n v="0"/>
  </r>
  <r>
    <s v="ORD0096"/>
    <x v="77"/>
    <d v="2023-07-12T00:00:00"/>
    <m/>
    <x v="7"/>
    <x v="1"/>
    <s v="CUST017"/>
    <s v="Unknown Customer"/>
    <s v="PROD015"/>
    <x v="0"/>
    <n v="21"/>
    <n v="2"/>
    <n v="42"/>
    <x v="3"/>
    <x v="1"/>
    <s v="UPS"/>
    <x v="4"/>
    <x v="12"/>
    <n v="3"/>
    <s v="Slow"/>
    <n v="42"/>
    <n v="0"/>
    <n v="1"/>
    <n v="0"/>
    <n v="1"/>
  </r>
  <r>
    <s v="ORD0097"/>
    <x v="78"/>
    <d v="2023-12-26T00:00:00"/>
    <m/>
    <x v="0"/>
    <x v="1"/>
    <s v="CUST023"/>
    <s v="Unknown Customer"/>
    <s v="PROD018"/>
    <x v="4"/>
    <n v="95"/>
    <n v="5"/>
    <n v="475"/>
    <x v="3"/>
    <x v="1"/>
    <s v="Amazon Logistics"/>
    <x v="1"/>
    <x v="1"/>
    <n v="3"/>
    <s v="Slow"/>
    <n v="475"/>
    <n v="0"/>
    <n v="1"/>
    <n v="0"/>
    <n v="1"/>
  </r>
  <r>
    <s v="ORD0098"/>
    <x v="79"/>
    <d v="2023-09-30T00:00:00"/>
    <m/>
    <x v="11"/>
    <x v="1"/>
    <s v="CUST044"/>
    <s v="Unknown Customer"/>
    <s v="PROD016"/>
    <x v="2"/>
    <n v="215"/>
    <n v="2"/>
    <n v="430"/>
    <x v="2"/>
    <x v="1"/>
    <s v="Amazon Logistics"/>
    <x v="0"/>
    <x v="19"/>
    <n v="5"/>
    <s v="Slow"/>
    <n v="430"/>
    <n v="0"/>
    <n v="1"/>
    <n v="0"/>
    <n v="1"/>
  </r>
  <r>
    <s v="ORD0099"/>
    <x v="63"/>
    <m/>
    <d v="2023-01-24T00:00:00"/>
    <x v="9"/>
    <x v="0"/>
    <s v="CUST034"/>
    <s v="Unknown Customer"/>
    <s v="PROD019"/>
    <x v="4"/>
    <n v="43"/>
    <n v="5"/>
    <n v="215"/>
    <x v="1"/>
    <x v="0"/>
    <s v="UPS"/>
    <x v="2"/>
    <x v="6"/>
    <s v="Pending"/>
    <s v="Pending"/>
    <n v="0"/>
    <n v="1"/>
    <n v="1"/>
    <n v="0"/>
    <n v="0"/>
  </r>
  <r>
    <s v="ORD0100"/>
    <x v="80"/>
    <m/>
    <m/>
    <x v="10"/>
    <x v="2"/>
    <s v="CUST009"/>
    <s v="Unknown Customer"/>
    <s v="PROD002"/>
    <x v="4"/>
    <n v="42"/>
    <n v="4"/>
    <n v="168"/>
    <x v="4"/>
    <x v="2"/>
    <s v="DHL"/>
    <x v="1"/>
    <x v="15"/>
    <s v="Pending"/>
    <s v="Pending"/>
    <n v="0"/>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AF5A9F-8EA1-44D6-ADED-306E95DE8AE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N5" firstHeaderRow="1" firstDataRow="1" firstDataCol="0" rowPageCount="1" colPageCount="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axis="axisPage" multipleItemSelectionAllowed="1" showAll="0">
      <items count="4">
        <item h="1" x="0"/>
        <item x="1"/>
        <item x="2"/>
        <item t="default"/>
      </items>
    </pivotField>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Items count="1">
    <i/>
  </rowItems>
  <colItems count="1">
    <i/>
  </colItems>
  <pageFields count="1">
    <pageField fld="5" hier="-1"/>
  </pageFields>
  <dataFields count="1">
    <dataField name="Sum of Total Amount" fld="12" baseField="0" baseItem="0"/>
  </dataFields>
  <formats count="15">
    <format dxfId="70">
      <pivotArea outline="0" collapsedLevelsAreSubtotals="1" fieldPosition="0"/>
    </format>
    <format dxfId="69">
      <pivotArea field="9" type="button" dataOnly="0" labelOnly="1" outline="0"/>
    </format>
    <format dxfId="68">
      <pivotArea dataOnly="0" labelOnly="1" grandRow="1" outline="0" fieldPosition="0"/>
    </format>
    <format dxfId="67">
      <pivotArea dataOnly="0" labelOnly="1" grandCol="1" outline="0"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field="14" type="button" dataOnly="0" labelOnly="1" outline="0"/>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dataOnly="0" labelOnly="1" outline="0" axis="axisValues" fieldPosition="0"/>
    </format>
    <format dxfId="58">
      <pivotArea outline="0" collapsedLevelsAreSubtotals="1" fieldPosition="0"/>
    </format>
    <format dxfId="57">
      <pivotArea type="all" dataOnly="0" outline="0" fieldPosition="0"/>
    </format>
    <format dxfId="56">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FA72DE-36D1-41FF-94DF-C5E40298AFD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I2:J8" firstHeaderRow="1" firstDataRow="1" firstDataCol="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multipleItemSelectionAllowed="1" showAll="0"/>
    <pivotField showAll="0"/>
    <pivotField showAll="0"/>
    <pivotField showAll="0"/>
    <pivotField axis="axisRow"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Fields count="1">
    <field x="9"/>
  </rowFields>
  <rowItems count="6">
    <i>
      <x/>
    </i>
    <i>
      <x v="1"/>
    </i>
    <i>
      <x v="2"/>
    </i>
    <i>
      <x v="3"/>
    </i>
    <i>
      <x v="4"/>
    </i>
    <i t="grand">
      <x/>
    </i>
  </rowItems>
  <colItems count="1">
    <i/>
  </colItems>
  <dataFields count="1">
    <dataField name="Sum of Cancellation Rate by Region " fld="28" baseField="0" baseItem="0" numFmtId="9"/>
  </dataFields>
  <formats count="18">
    <format dxfId="88">
      <pivotArea outline="0" collapsedLevelsAreSubtotals="1" fieldPosition="0"/>
    </format>
    <format dxfId="87">
      <pivotArea field="9" type="button" dataOnly="0" labelOnly="1" outline="0" axis="axisRow" fieldPosition="0"/>
    </format>
    <format dxfId="86">
      <pivotArea dataOnly="0" labelOnly="1" grandRow="1" outline="0" fieldPosition="0"/>
    </format>
    <format dxfId="85">
      <pivotArea dataOnly="0" labelOnly="1" grandCol="1"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14" type="button" dataOnly="0" labelOnly="1" outline="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9" type="button" dataOnly="0" labelOnly="1" outline="0" axis="axisRow" fieldPosition="0"/>
    </format>
    <format dxfId="75">
      <pivotArea dataOnly="0" labelOnly="1" fieldPosition="0">
        <references count="1">
          <reference field="9" count="0"/>
        </references>
      </pivotArea>
    </format>
    <format dxfId="74">
      <pivotArea dataOnly="0" labelOnly="1" grandRow="1" outline="0" fieldPosition="0"/>
    </format>
    <format dxfId="73">
      <pivotArea dataOnly="0" labelOnly="1" outline="0" fieldPosition="0">
        <references count="1">
          <reference field="4294967294" count="1">
            <x v="0"/>
          </reference>
        </references>
      </pivotArea>
    </format>
    <format dxfId="72">
      <pivotArea outline="0" collapsedLevelsAreSubtotals="1" fieldPosition="0">
        <references count="1">
          <reference field="4294967294" count="1" selected="0">
            <x v="0"/>
          </reference>
        </references>
      </pivotArea>
    </format>
    <format dxfId="71">
      <pivotArea collapsedLevelsAreSubtotals="1" fieldPosition="0">
        <references count="2">
          <reference field="4294967294" count="1" selected="0">
            <x v="0"/>
          </reference>
          <reference field="9" count="0"/>
        </references>
      </pivotArea>
    </format>
  </formats>
  <chartFormats count="1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9" count="1" selected="0">
            <x v="0"/>
          </reference>
        </references>
      </pivotArea>
    </chartFormat>
    <chartFormat chart="25" format="9">
      <pivotArea type="data" outline="0" fieldPosition="0">
        <references count="2">
          <reference field="4294967294" count="1" selected="0">
            <x v="0"/>
          </reference>
          <reference field="9" count="1" selected="0">
            <x v="1"/>
          </reference>
        </references>
      </pivotArea>
    </chartFormat>
    <chartFormat chart="25" format="10">
      <pivotArea type="data" outline="0" fieldPosition="0">
        <references count="2">
          <reference field="4294967294" count="1" selected="0">
            <x v="0"/>
          </reference>
          <reference field="9" count="1" selected="0">
            <x v="2"/>
          </reference>
        </references>
      </pivotArea>
    </chartFormat>
    <chartFormat chart="25" format="11">
      <pivotArea type="data" outline="0" fieldPosition="0">
        <references count="2">
          <reference field="4294967294" count="1" selected="0">
            <x v="0"/>
          </reference>
          <reference field="9" count="1" selected="0">
            <x v="3"/>
          </reference>
        </references>
      </pivotArea>
    </chartFormat>
    <chartFormat chart="25" format="12">
      <pivotArea type="data" outline="0" fieldPosition="0">
        <references count="2">
          <reference field="4294967294" count="1" selected="0">
            <x v="0"/>
          </reference>
          <reference field="9"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017AC-DA4F-43FA-B90F-AC4F12FF4A2F}"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3:A34" firstHeaderRow="1" firstDataRow="1" firstDataCol="0" rowPageCount="2" colPageCount="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axis="axisPage" multipleItemSelectionAllowed="1" showAll="0">
      <items count="6">
        <item x="3"/>
        <item x="0"/>
        <item x="1"/>
        <item x="4"/>
        <item x="2"/>
        <item t="default"/>
      </items>
    </pivotField>
    <pivotField showAll="0">
      <items count="4">
        <item x="0"/>
        <item x="1"/>
        <item x="2"/>
        <item t="default"/>
      </items>
    </pivotField>
    <pivotField showAll="0"/>
    <pivotField axis="axisPage" showAll="0">
      <items count="7">
        <item x="3"/>
        <item x="2"/>
        <item x="0"/>
        <item m="1" x="5"/>
        <item x="1"/>
        <item x="4"/>
        <item t="default"/>
      </items>
    </pivotField>
    <pivotField showAll="0"/>
    <pivotField dataField="1"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Items count="1">
    <i/>
  </rowItems>
  <colItems count="1">
    <i/>
  </colItems>
  <pageFields count="2">
    <pageField fld="13" hier="-1"/>
    <pageField fld="16" hier="-1"/>
  </pageFields>
  <dataFields count="1">
    <dataField name="Average of Delivery Days" fld="18" subtotal="average" baseField="0" baseItem="0"/>
  </dataFields>
  <formats count="10">
    <format dxfId="98">
      <pivotArea outline="0" collapsedLevelsAreSubtotals="1" fieldPosition="0"/>
    </format>
    <format dxfId="97">
      <pivotArea field="9" type="button" dataOnly="0" labelOnly="1" outline="0"/>
    </format>
    <format dxfId="96">
      <pivotArea dataOnly="0" labelOnly="1" grandRow="1" outline="0" fieldPosition="0"/>
    </format>
    <format dxfId="95">
      <pivotArea dataOnly="0" labelOnly="1" grandCol="1"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14" type="button" dataOnly="0" labelOnly="1" outline="0"/>
    </format>
    <format dxfId="90">
      <pivotArea dataOnly="0" labelOnly="1" grandRow="1" outline="0" fieldPosition="0"/>
    </format>
    <format dxfId="89">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7A7DB6-2114-4A94-AEE0-7E815410219E}"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8:A39" firstHeaderRow="1" firstDataRow="1" firstDataCol="0"/>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multipleItemSelectionAllowed="1" showAll="0"/>
    <pivotField showAll="0"/>
    <pivotField showAll="0"/>
    <pivotField showAll="0"/>
    <pivotField showAll="0">
      <items count="6">
        <item x="3"/>
        <item x="1"/>
        <item x="0"/>
        <item x="2"/>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Effective Sales" fld="27" baseField="0" baseItem="1"/>
  </dataFields>
  <formats count="19">
    <format dxfId="117">
      <pivotArea outline="0" collapsedLevelsAreSubtotals="1" fieldPosition="0"/>
    </format>
    <format dxfId="116">
      <pivotArea field="9" type="button" dataOnly="0" labelOnly="1" outline="0"/>
    </format>
    <format dxfId="115">
      <pivotArea dataOnly="0" labelOnly="1" grandRow="1" outline="0" fieldPosition="0"/>
    </format>
    <format dxfId="114">
      <pivotArea dataOnly="0" labelOnly="1" grandCol="1"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14" type="button" dataOnly="0" labelOnly="1" outline="0"/>
    </format>
    <format dxfId="109">
      <pivotArea dataOnly="0" labelOnly="1" grandRow="1" outline="0" fieldPosition="0"/>
    </format>
    <format dxfId="108">
      <pivotArea dataOnly="0" labelOnly="1" outline="0" axis="axisValues" fieldPosition="0"/>
    </format>
    <format dxfId="107">
      <pivotArea type="all" dataOnly="0" outline="0" fieldPosition="0"/>
    </format>
    <format dxfId="106">
      <pivotArea dataOnly="0" labelOnly="1" outline="0" axis="axisValues"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dataOnly="0" labelOnly="1" outline="0" fieldPosition="0">
        <references count="1">
          <reference field="4294967294" count="1">
            <x v="0"/>
          </reference>
        </references>
      </pivotArea>
    </format>
    <format dxfId="101">
      <pivotArea outline="0" collapsedLevelsAreSubtotals="1" fieldPosition="0">
        <references count="1">
          <reference field="4294967294" count="1" selected="0">
            <x v="0"/>
          </reference>
        </references>
      </pivotArea>
    </format>
    <format dxfId="100">
      <pivotArea dataOnly="0" labelOnly="1" outline="0" fieldPosition="0">
        <references count="1">
          <reference field="4294967294" count="1">
            <x v="0"/>
          </reference>
        </references>
      </pivotArea>
    </format>
    <format dxfId="99">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D9B226-B8F0-49C0-A0F9-D9F4A34BD59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20:J26" firstHeaderRow="1" firstDataRow="1" firstDataCol="1" rowPageCount="2" colPageCount="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axis="axisPage" multipleItemSelectionAllowed="1" showAll="0">
      <items count="4">
        <item h="1" x="0"/>
        <item x="1"/>
        <item x="2"/>
        <item t="default"/>
      </items>
    </pivotField>
    <pivotField showAll="0"/>
    <pivotField showAll="0"/>
    <pivotField showAll="0"/>
    <pivotField showAll="0">
      <items count="6">
        <item x="3"/>
        <item x="1"/>
        <item x="0"/>
        <item x="2"/>
        <item x="4"/>
        <item t="default"/>
      </items>
    </pivotField>
    <pivotField showAll="0"/>
    <pivotField showAll="0"/>
    <pivotField dataField="1" showAll="0"/>
    <pivotField axis="axisPage" multipleItemSelectionAllowed="1" showAll="0">
      <items count="6">
        <item x="3"/>
        <item x="0"/>
        <item x="1"/>
        <item x="4"/>
        <item x="2"/>
        <item t="default"/>
      </items>
    </pivotField>
    <pivotField showAll="0">
      <items count="4">
        <item x="0"/>
        <item x="1"/>
        <item x="2"/>
        <item t="default"/>
      </items>
    </pivotField>
    <pivotField showAll="0"/>
    <pivotField axis="axisRow" showAll="0">
      <items count="7">
        <item x="3"/>
        <item x="2"/>
        <item x="0"/>
        <item h="1" m="1" x="5"/>
        <item x="1"/>
        <item x="4"/>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Fields count="1">
    <field x="16"/>
  </rowFields>
  <rowItems count="6">
    <i>
      <x/>
    </i>
    <i>
      <x v="1"/>
    </i>
    <i>
      <x v="2"/>
    </i>
    <i>
      <x v="4"/>
    </i>
    <i>
      <x v="5"/>
    </i>
    <i t="grand">
      <x/>
    </i>
  </rowItems>
  <colItems count="1">
    <i/>
  </colItems>
  <pageFields count="2">
    <pageField fld="13" hier="-1"/>
    <pageField fld="5" hier="-1"/>
  </pageFields>
  <dataFields count="1">
    <dataField name="Sum of Total Amount" fld="12" baseField="0" baseItem="0" numFmtId="171"/>
  </dataFields>
  <formats count="6">
    <format dxfId="123">
      <pivotArea outline="0" collapsedLevelsAreSubtotals="1" fieldPosition="0"/>
    </format>
    <format dxfId="122">
      <pivotArea field="9" type="button" dataOnly="0" labelOnly="1" outline="0"/>
    </format>
    <format dxfId="121">
      <pivotArea dataOnly="0" labelOnly="1" grandRow="1" outline="0" fieldPosition="0"/>
    </format>
    <format dxfId="120">
      <pivotArea dataOnly="0" labelOnly="1" grandCol="1" outline="0" fieldPosition="0"/>
    </format>
    <format dxfId="119">
      <pivotArea dataOnly="0" labelOnly="1" fieldPosition="0">
        <references count="1">
          <reference field="16" count="0"/>
        </references>
      </pivotArea>
    </format>
    <format dxfId="1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23B647-7436-44BD-9806-F2463152422A}"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7:O29" firstHeaderRow="1" firstDataRow="1" firstDataCol="1" rowPageCount="1" colPageCount="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axis="axisPage" multipleItemSelectionAllowed="1" showAll="0">
      <items count="4">
        <item h="1" x="0"/>
        <item x="1"/>
        <item x="2"/>
        <item t="default"/>
      </items>
    </pivotField>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Fields count="1">
    <field x="17"/>
  </rowFields>
  <rowItems count="2">
    <i>
      <x v="16"/>
    </i>
    <i t="grand">
      <x/>
    </i>
  </rowItems>
  <colItems count="1">
    <i/>
  </colItems>
  <pageFields count="1">
    <pageField fld="5" hier="-1"/>
  </pageFields>
  <dataFields count="1">
    <dataField name="Sum of Total Amount" fld="12" baseField="0" baseItem="0" numFmtId="170"/>
  </dataFields>
  <formats count="11">
    <format dxfId="134">
      <pivotArea outline="0" collapsedLevelsAreSubtotals="1" fieldPosition="0"/>
    </format>
    <format dxfId="133">
      <pivotArea field="9" type="button" dataOnly="0" labelOnly="1" outline="0"/>
    </format>
    <format dxfId="132">
      <pivotArea dataOnly="0" labelOnly="1" grandRow="1" outline="0" fieldPosition="0"/>
    </format>
    <format dxfId="131">
      <pivotArea dataOnly="0" labelOnly="1" grandCol="1" outline="0"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14" type="button" dataOnly="0" labelOnly="1" outline="0"/>
    </format>
    <format dxfId="126">
      <pivotArea dataOnly="0" labelOnly="1" grandRow="1" outline="0" fieldPosition="0"/>
    </format>
    <format dxfId="125">
      <pivotArea dataOnly="0" labelOnly="1" outline="0" axis="axisValues" fieldPosition="0"/>
    </format>
    <format dxfId="1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7"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D0D097-D09D-4757-A737-378B04D6AC7B}"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N10" firstHeaderRow="1" firstDataRow="1" firstDataCol="0"/>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multipleItemSelectionAllowed="1"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showAll="0">
      <items count="15">
        <item h="1" x="0"/>
        <item x="1"/>
        <item x="2"/>
        <item x="3"/>
        <item x="4"/>
        <item x="5"/>
        <item x="6"/>
        <item x="7"/>
        <item x="8"/>
        <item x="9"/>
        <item x="10"/>
        <item x="11"/>
        <item x="12"/>
        <item h="1" x="13"/>
        <item t="default"/>
      </items>
    </pivotField>
  </pivotFields>
  <rowItems count="1">
    <i/>
  </rowItems>
  <colItems count="1">
    <i/>
  </colItems>
  <dataFields count="1">
    <dataField name="Sum of Field1" fld="29" baseField="0" baseItem="0" numFmtId="10"/>
  </dataFields>
  <formats count="15">
    <format dxfId="149">
      <pivotArea outline="0" collapsedLevelsAreSubtotals="1" fieldPosition="0"/>
    </format>
    <format dxfId="148">
      <pivotArea field="9" type="button" dataOnly="0" labelOnly="1" outline="0"/>
    </format>
    <format dxfId="147">
      <pivotArea dataOnly="0" labelOnly="1" grandRow="1" outline="0" fieldPosition="0"/>
    </format>
    <format dxfId="146">
      <pivotArea dataOnly="0" labelOnly="1" grandCol="1" outline="0"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field="14" type="button" dataOnly="0" labelOnly="1" outline="0"/>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9" type="button" dataOnly="0" labelOnly="1" outline="0"/>
    </format>
    <format dxfId="136">
      <pivotArea dataOnly="0" labelOnly="1" grandRow="1" outline="0" fieldPosition="0"/>
    </format>
    <format dxfId="135">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DF4665-847F-405E-92F3-941F4F8562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A4:B10" firstHeaderRow="1" firstDataRow="1" firstDataCol="1" rowPageCount="2" colPageCount="1"/>
  <pivotFields count="24">
    <pivotField showAll="0"/>
    <pivotField showAll="0"/>
    <pivotField showAll="0"/>
    <pivotField showAll="0"/>
    <pivotField showAll="0">
      <items count="13">
        <item h="1" x="9"/>
        <item h="1" x="1"/>
        <item h="1" x="10"/>
        <item h="1" x="6"/>
        <item x="3"/>
        <item h="1" x="8"/>
        <item h="1" x="7"/>
        <item h="1" x="5"/>
        <item h="1" x="11"/>
        <item h="1" x="2"/>
        <item h="1" x="4"/>
        <item h="1" x="0"/>
        <item t="default"/>
      </items>
    </pivotField>
    <pivotField axis="axisPage" multipleItemSelectionAllowed="1" showAll="0">
      <items count="4">
        <item h="1" x="0"/>
        <item x="1"/>
        <item x="2"/>
        <item t="default"/>
      </items>
    </pivotField>
    <pivotField showAll="0"/>
    <pivotField showAll="0"/>
    <pivotField axis="axisRow" showAll="0">
      <items count="8">
        <item h="1" m="1" x="5"/>
        <item n="j" h="1" f="1" x="6"/>
        <item x="4"/>
        <item x="0"/>
        <item x="2"/>
        <item x="1"/>
        <item x="3"/>
        <item t="default"/>
      </items>
    </pivotField>
    <pivotField showAll="0"/>
    <pivotField showAll="0"/>
    <pivotField dataField="1" showAll="0"/>
    <pivotField axis="axisPage" showAll="0">
      <items count="7">
        <item x="3"/>
        <item x="0"/>
        <item x="1"/>
        <item x="4"/>
        <item x="2"/>
        <item m="1"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v="2"/>
    </i>
    <i>
      <x v="3"/>
    </i>
    <i>
      <x v="4"/>
    </i>
    <i>
      <x v="5"/>
    </i>
    <i>
      <x v="6"/>
    </i>
    <i t="grand">
      <x/>
    </i>
  </rowItems>
  <colItems count="1">
    <i/>
  </colItems>
  <pageFields count="2">
    <pageField fld="5" hier="-1"/>
    <pageField fld="12" hier="-1"/>
  </pageFields>
  <dataFields count="1">
    <dataField name="Sum of Total Amount" fld="11" baseField="0" baseItem="0" numFmtId="165"/>
  </dataFields>
  <formats count="1">
    <format dxfId="150">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3A4235-BFDB-4956-956E-2901969A688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20:B24" firstHeaderRow="1" firstDataRow="1" firstDataCol="1" rowPageCount="2" colPageCount="1"/>
  <pivotFields count="31">
    <pivotField dataField="1"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showAll="0"/>
    <pivotField showAll="0"/>
    <pivotField showAll="0"/>
    <pivotField showAll="0"/>
    <pivotField showAll="0">
      <items count="6">
        <item x="3"/>
        <item x="1"/>
        <item x="0"/>
        <item x="2"/>
        <item x="4"/>
        <item t="default"/>
      </items>
    </pivotField>
    <pivotField showAll="0"/>
    <pivotField showAll="0"/>
    <pivotField showAll="0"/>
    <pivotField axis="axisPage" multipleItemSelectionAllowed="1" showAll="0">
      <items count="6">
        <item x="3"/>
        <item x="0"/>
        <item x="1"/>
        <item x="4"/>
        <item x="2"/>
        <item t="default"/>
      </items>
    </pivotField>
    <pivotField axis="axisRow" showAll="0">
      <items count="4">
        <item x="0"/>
        <item x="1"/>
        <item x="2"/>
        <item t="default"/>
      </items>
    </pivotField>
    <pivotField showAll="0"/>
    <pivotField axis="axisPage" showAll="0">
      <items count="7">
        <item x="3"/>
        <item x="2"/>
        <item x="0"/>
        <item m="1" x="5"/>
        <item x="1"/>
        <item x="4"/>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Fields count="1">
    <field x="14"/>
  </rowFields>
  <rowItems count="4">
    <i>
      <x/>
    </i>
    <i>
      <x v="1"/>
    </i>
    <i>
      <x v="2"/>
    </i>
    <i t="grand">
      <x/>
    </i>
  </rowItems>
  <colItems count="1">
    <i/>
  </colItems>
  <pageFields count="2">
    <pageField fld="13" hier="-1"/>
    <pageField fld="16" hier="-1"/>
  </pageFields>
  <dataFields count="1">
    <dataField name="Count of Order ID" fld="0" subtotal="count" baseField="0" baseItem="0" numFmtId="1"/>
  </dataFields>
  <formats count="12">
    <format dxfId="162">
      <pivotArea outline="0" collapsedLevelsAreSubtotals="1" fieldPosition="0"/>
    </format>
    <format dxfId="161">
      <pivotArea field="9" type="button" dataOnly="0" labelOnly="1" outline="0"/>
    </format>
    <format dxfId="160">
      <pivotArea dataOnly="0" labelOnly="1" grandRow="1" outline="0" fieldPosition="0"/>
    </format>
    <format dxfId="159">
      <pivotArea dataOnly="0" labelOnly="1" grandCol="1" outline="0" fieldPosition="0"/>
    </format>
    <format dxfId="158">
      <pivotArea outline="0" collapsedLevelsAreSubtotals="1" fieldPosition="0"/>
    </format>
    <format dxfId="157">
      <pivotArea type="all" dataOnly="0" outline="0" fieldPosition="0"/>
    </format>
    <format dxfId="156">
      <pivotArea outline="0" collapsedLevelsAreSubtotals="1" fieldPosition="0"/>
    </format>
    <format dxfId="155">
      <pivotArea field="14" type="button" dataOnly="0" labelOnly="1" outline="0" axis="axisRow" fieldPosition="0"/>
    </format>
    <format dxfId="154">
      <pivotArea dataOnly="0" labelOnly="1" fieldPosition="0">
        <references count="1">
          <reference field="14" count="0"/>
        </references>
      </pivotArea>
    </format>
    <format dxfId="153">
      <pivotArea dataOnly="0" labelOnly="1" grandRow="1" outline="0" fieldPosition="0"/>
    </format>
    <format dxfId="152">
      <pivotArea dataOnly="0" labelOnly="1" outline="0" axis="axisValues" fieldPosition="0"/>
    </format>
    <format dxfId="15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4" count="1" selected="0">
            <x v="0"/>
          </reference>
        </references>
      </pivotArea>
    </chartFormat>
    <chartFormat chart="8" format="3">
      <pivotArea type="data" outline="0" fieldPosition="0">
        <references count="2">
          <reference field="4294967294" count="1" selected="0">
            <x v="0"/>
          </reference>
          <reference field="14" count="1" selected="0">
            <x v="1"/>
          </reference>
        </references>
      </pivotArea>
    </chartFormat>
    <chartFormat chart="8" format="4">
      <pivotArea type="data" outline="0" fieldPosition="0">
        <references count="2">
          <reference field="4294967294" count="1" selected="0">
            <x v="0"/>
          </reference>
          <reference field="14" count="1" selected="0">
            <x v="2"/>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14" count="1" selected="0">
            <x v="0"/>
          </reference>
        </references>
      </pivotArea>
    </chartFormat>
    <chartFormat chart="20" format="15">
      <pivotArea type="data" outline="0" fieldPosition="0">
        <references count="2">
          <reference field="4294967294" count="1" selected="0">
            <x v="0"/>
          </reference>
          <reference field="14" count="1" selected="0">
            <x v="1"/>
          </reference>
        </references>
      </pivotArea>
    </chartFormat>
    <chartFormat chart="20" format="16">
      <pivotArea type="data" outline="0" fieldPosition="0">
        <references count="2">
          <reference field="4294967294" count="1" selected="0">
            <x v="0"/>
          </reference>
          <reference field="14"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14" count="1" selected="0">
            <x v="0"/>
          </reference>
        </references>
      </pivotArea>
    </chartFormat>
    <chartFormat chart="29" format="7">
      <pivotArea type="data" outline="0" fieldPosition="0">
        <references count="2">
          <reference field="4294967294" count="1" selected="0">
            <x v="0"/>
          </reference>
          <reference field="14" count="1" selected="0">
            <x v="1"/>
          </reference>
        </references>
      </pivotArea>
    </chartFormat>
    <chartFormat chart="29" format="8">
      <pivotArea type="data" outline="0" fieldPosition="0">
        <references count="2">
          <reference field="4294967294" count="1" selected="0">
            <x v="0"/>
          </reference>
          <reference field="14"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AF0F43-A868-4964-A866-9794A0D9A2F0}"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N16:O22" firstHeaderRow="1" firstDataRow="1" firstDataCol="1" rowPageCount="1" colPageCount="1"/>
  <pivotFields count="31">
    <pivotField showAll="0"/>
    <pivotField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pivotField showAll="0"/>
    <pivotField showAll="0">
      <items count="13">
        <item x="9"/>
        <item x="1"/>
        <item x="10"/>
        <item x="6"/>
        <item x="3"/>
        <item x="8"/>
        <item x="7"/>
        <item x="5"/>
        <item x="11"/>
        <item x="2"/>
        <item x="4"/>
        <item x="0"/>
        <item t="default"/>
      </items>
    </pivotField>
    <pivotField axis="axisPage" multipleItemSelectionAllowed="1" showAll="0">
      <items count="4">
        <item h="1" x="0"/>
        <item x="1"/>
        <item x="2"/>
        <item t="default"/>
      </items>
    </pivotField>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h="1" x="0"/>
        <item x="1"/>
        <item x="2"/>
        <item x="3"/>
        <item x="4"/>
        <item x="5"/>
        <item x="6"/>
        <item x="7"/>
        <item x="8"/>
        <item x="9"/>
        <item x="10"/>
        <item x="11"/>
        <item x="12"/>
        <item h="1" x="13"/>
        <item t="default"/>
      </items>
    </pivotField>
  </pivotFields>
  <rowFields count="1">
    <field x="9"/>
  </rowFields>
  <rowItems count="6">
    <i>
      <x v="2"/>
    </i>
    <i>
      <x v="4"/>
    </i>
    <i>
      <x v="3"/>
    </i>
    <i>
      <x/>
    </i>
    <i>
      <x v="1"/>
    </i>
    <i t="grand">
      <x/>
    </i>
  </rowItems>
  <colItems count="1">
    <i/>
  </colItems>
  <pageFields count="1">
    <pageField fld="5" hier="-1"/>
  </pageFields>
  <dataFields count="1">
    <dataField name="Sum of Total Amount" fld="12" baseField="0" baseItem="0" numFmtId="170"/>
  </dataFields>
  <formats count="15">
    <format dxfId="177">
      <pivotArea outline="0" collapsedLevelsAreSubtotals="1" fieldPosition="0"/>
    </format>
    <format dxfId="176">
      <pivotArea field="9" type="button" dataOnly="0" labelOnly="1" outline="0" axis="axisRow" fieldPosition="0"/>
    </format>
    <format dxfId="175">
      <pivotArea dataOnly="0" labelOnly="1" grandRow="1" outline="0" fieldPosition="0"/>
    </format>
    <format dxfId="174">
      <pivotArea dataOnly="0" labelOnly="1" grandCol="1" outline="0" fieldPosition="0"/>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field="14" type="button" dataOnly="0" labelOnly="1" outline="0"/>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9" type="button" dataOnly="0" labelOnly="1" outline="0" axis="axisRow" fieldPosition="0"/>
    </format>
    <format dxfId="164">
      <pivotArea dataOnly="0" labelOnly="1" grandRow="1" outline="0" fieldPosition="0"/>
    </format>
    <format dxfId="163">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9" count="3">
              <x v="2"/>
              <x v="3"/>
              <x v="4"/>
            </reference>
          </references>
        </pivotArea>
      </pivotAreas>
    </conditionalFormat>
  </conditionalFormats>
  <chartFormats count="3">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B66640B-CF05-4247-BD8A-D610C103E1E6}" sourceName="Delivery Status">
  <pivotTables>
    <pivotTable tabId="5" name="PivotTable15"/>
    <pivotTable tabId="5" name="PivotTable16"/>
    <pivotTable tabId="5" name="PivotTable17"/>
    <pivotTable tabId="5" name="PivotTable18"/>
    <pivotTable tabId="5" name="PivotTable19"/>
    <pivotTable tabId="5" name="PivotTable20"/>
    <pivotTable tabId="5" name="PivotTable21"/>
    <pivotTable tabId="5" name="PivotTable22"/>
  </pivotTables>
  <data>
    <tabular pivotCacheId="3752204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D3C6D66-F1BA-4910-B5AD-BB4290AE3A54}" sourceName="Payment Method">
  <pivotTables>
    <pivotTable tabId="5" name="PivotTable16"/>
    <pivotTable tabId="5" name="PivotTable15"/>
    <pivotTable tabId="5" name="PivotTable17"/>
    <pivotTable tabId="5" name="PivotTable18"/>
    <pivotTable tabId="5" name="PivotTable19"/>
    <pivotTable tabId="5" name="PivotTable20"/>
    <pivotTable tabId="5" name="PivotTable21"/>
    <pivotTable tabId="5" name="PivotTable22"/>
  </pivotTables>
  <data>
    <tabular pivotCacheId="375220460">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7B6B0C-8C9E-4848-8A64-9FBFB7BEB5D6}" sourceName="Region">
  <pivotTables>
    <pivotTable tabId="5" name="PivotTable16"/>
    <pivotTable tabId="5" name="PivotTable15"/>
    <pivotTable tabId="5" name="PivotTable17"/>
    <pivotTable tabId="5" name="PivotTable18"/>
    <pivotTable tabId="5" name="PivotTable19"/>
    <pivotTable tabId="5" name="PivotTable20"/>
    <pivotTable tabId="5" name="PivotTable21"/>
    <pivotTable tabId="5" name="PivotTable22"/>
  </pivotTables>
  <data>
    <tabular pivotCacheId="375220460">
      <items count="5">
        <i x="3" s="1"/>
        <i x="1" s="1"/>
        <i x="0"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1" xr10:uid="{2EACA1F6-5D04-43DE-AE5A-A5D5C007FF8B}" sourceName="Order Month">
  <pivotTables>
    <pivotTable tabId="5" name="PivotTable15"/>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s>
  <data>
    <tabular pivotCacheId="375220460">
      <items count="12">
        <i x="9" s="1"/>
        <i x="1" s="1"/>
        <i x="10" s="1"/>
        <i x="6" s="1"/>
        <i x="3" s="1"/>
        <i x="8" s="1"/>
        <i x="7" s="1"/>
        <i x="5" s="1"/>
        <i x="1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7F6C3F96-3140-43DB-B1D0-A289AFEAA9D8}" cache="Slicer_Delivery_Status" caption="Delivery Status" style="SlicerStyleDark4" rowHeight="234950"/>
  <slicer name="Payment Method" xr10:uid="{0CC6EF0F-8C89-4C0E-9A5D-508858434BDF}" cache="Slicer_Payment_Method" caption="Payment Method" style="SlicerStyleDark4" rowHeight="234950"/>
  <slicer name="Region" xr10:uid="{DA68A045-2AFD-4F50-AA38-69EF5E1B07AE}" cache="Slicer_Region" caption="Region" style="SlicerStyleDark4" rowHeight="234950"/>
  <slicer name="Order Month 1" xr10:uid="{221C75F1-426E-49FC-8778-1D1DB3F482ED}" cache="Slicer_Order_Month1" caption="Order Month"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C340C6-01F7-44B7-B2EF-4FBC59A801CB}" name="tbl_sale" displayName="tbl_sale" ref="A1:X102" totalsRowCount="1" headerRowDxfId="55" headerRowBorderDxfId="54" tableBorderDxfId="53" totalsRowBorderDxfId="52">
  <autoFilter ref="A1:X101" xr:uid="{3EC340C6-01F7-44B7-B2EF-4FBC59A801CB}"/>
  <sortState xmlns:xlrd2="http://schemas.microsoft.com/office/spreadsheetml/2017/richdata2" ref="A2:U101">
    <sortCondition ref="A1:A101"/>
  </sortState>
  <tableColumns count="24">
    <tableColumn id="1" xr3:uid="{CE2DB23C-185C-4DB3-967B-41D0BE2C9A11}" name="Order ID" dataDxfId="51" totalsRowDxfId="50"/>
    <tableColumn id="2" xr3:uid="{CF9418D6-D11F-4556-A22A-1C63A02B85DC}" name="Order Date" dataDxfId="49" totalsRowDxfId="48"/>
    <tableColumn id="3" xr3:uid="{B2E89A90-8B4F-4049-801F-366B4AAE3B31}" name="Delivery Date" dataDxfId="47" totalsRowDxfId="46"/>
    <tableColumn id="4" xr3:uid="{E82D8E56-12A6-49C8-B5B8-79B021892D37}" name="Cancel Date" dataDxfId="45" totalsRowDxfId="44"/>
    <tableColumn id="18" xr3:uid="{4BD16399-DC6C-4DD5-8B1F-D94FB7901873}" name="Order Month" dataDxfId="43" totalsRowDxfId="42">
      <calculatedColumnFormula>TEXT(tbl_sale[[#This Row],[Order Date]],"MMM")</calculatedColumnFormula>
    </tableColumn>
    <tableColumn id="19" xr3:uid="{627D47DA-4D8B-42B0-971F-41130F2857E2}" name="Delivery Status" dataDxfId="41" totalsRowDxfId="40">
      <calculatedColumnFormula>IF(D2&lt;&gt;"","Cancelled",IF(C2&lt;&gt;"","Delivered","In Transit"))</calculatedColumnFormula>
    </tableColumn>
    <tableColumn id="5" xr3:uid="{33432C3E-C15A-41A6-9E9A-ADD688669DA2}" name="Customer ID" dataDxfId="39" totalsRowDxfId="38"/>
    <tableColumn id="6" xr3:uid="{5F5F780C-92DE-438F-BAE0-50C3F76E9C5E}" name="Product ID" dataDxfId="37" totalsRowDxfId="36"/>
    <tableColumn id="7" xr3:uid="{33C8A5E2-BF3D-43E5-A1C2-4BA82E462293}" name="Region" dataDxfId="35" totalsRowDxfId="34"/>
    <tableColumn id="8" xr3:uid="{CCE154A5-A20F-422D-B799-7A4576579BCA}" name="Sale Price/Unit" totalsRowFunction="custom" dataDxfId="33" totalsRowDxfId="32">
      <totalsRowFormula>SUM(tbl_sale[Sale Price/Unit])</totalsRowFormula>
    </tableColumn>
    <tableColumn id="9" xr3:uid="{58E67BF5-2715-47E8-A056-BC15E2B51B90}" name="Quantity" dataDxfId="31" totalsRowDxfId="30"/>
    <tableColumn id="10" xr3:uid="{10B84103-C4C9-4A95-94DF-90A028E7D361}" name="Total Amount" totalsRowFunction="custom" dataDxfId="29" totalsRowDxfId="28" dataCellStyle="Currency" totalsRowCellStyle="Currency">
      <totalsRowFormula>SUM(tbl_sale[Total Amount])</totalsRowFormula>
    </tableColumn>
    <tableColumn id="11" xr3:uid="{BBC32E5E-2CC8-4137-A51E-87D7FC3DB55F}" name="Payment Method" dataDxfId="27" totalsRowDxfId="26"/>
    <tableColumn id="13" xr3:uid="{D95DE46C-C28B-440E-AAD3-C869C04CB68F}" name="Fulfillment Partner" dataDxfId="25" totalsRowDxfId="24"/>
    <tableColumn id="15" xr3:uid="{F4EDC884-94E8-4F8C-942F-E4F941605259}" name="Coustmer Name" dataDxfId="23" totalsRowDxfId="22">
      <calculatedColumnFormula>_xlfn.XLOOKUP(tbl_sale[[#This Row],[Customer ID]],CustomerMaster!A:A,CustomerMaster!B:B,"NA",0)</calculatedColumnFormula>
    </tableColumn>
    <tableColumn id="16" xr3:uid="{D75FA7E8-7D65-4212-A6E8-B9B772D4577D}" name="Product Name" dataDxfId="21" totalsRowDxfId="20">
      <calculatedColumnFormula>_xlfn.XLOOKUP(tbl_sale[[#This Row],[Product ID]],ProductMaster!$A$2:$A$23,ProductMaster!$B$2:$B$23,"NA",0)</calculatedColumnFormula>
    </tableColumn>
    <tableColumn id="23" xr3:uid="{4E033AFC-E7A9-43AD-8750-C8DEB40A7811}" name="Product Category" dataDxfId="19" totalsRowDxfId="18">
      <calculatedColumnFormula>_xlfn.XLOOKUP(tbl_sale[[#This Row],[Product ID]],ProductMaster!$A$2:$A$23,ProductMaster!$C$2:$C$23,"NA",0)</calculatedColumnFormula>
    </tableColumn>
    <tableColumn id="28" xr3:uid="{E843C015-338C-449B-820A-35FFB23A73EE}" name="Delivery Performance" dataDxfId="17" totalsRowDxfId="16">
      <calculatedColumnFormula>IFERROR(IF(tbl_sale[[#This Row],[Delivery Date]]="","Pending",IF(tbl_sale[[#This Row],[Delivery Date]]-tbl_sale[[#This Row],[Order Date]]&lt;= 2,"Fast","Slow")),"Error")</calculatedColumnFormula>
    </tableColumn>
    <tableColumn id="20" xr3:uid="{094B4A83-0DCE-4716-995D-123FA0B36D25}" name="Regional Target" dataDxfId="15" totalsRowDxfId="14">
      <calculatedColumnFormula>_xlfn.XLOOKUP(tbl_sale[[#This Row],[Region]],RegionGoals!$A$2:$A$6,RegionGoals!$B$2:$B$6, ,0)</calculatedColumnFormula>
    </tableColumn>
    <tableColumn id="21" xr3:uid="{E989FF94-7FED-4177-AB42-B6838B416B1B}" name="Column1" dataDxfId="13" totalsRowDxfId="12">
      <calculatedColumnFormula>_xlfn.XLOOKUP(tbl_sale[[#This Row],[Customer ID]],CustomerMaster!$A:$A,CustomerMaster!$C:$C,"NA",0)</calculatedColumnFormula>
    </tableColumn>
    <tableColumn id="22" xr3:uid="{294A088E-63F7-4ABA-B708-B060AD1029EC}" name="Cancellation Count" dataDxfId="11" totalsRowDxfId="10">
      <calculatedColumnFormula>IF(tbl_sale[[#This Row],[Delivery Status]]="Cancelled",1,0)</calculatedColumnFormula>
    </tableColumn>
    <tableColumn id="24" xr3:uid="{BA3E3A6D-3662-414F-A924-14B520BDBDD1}" name="Oder Count" dataDxfId="9" totalsRowDxfId="8">
      <calculatedColumnFormula>IF(tbl_sale[[#This Row],[Order ID]]&lt;&gt;"",1,0)</calculatedColumnFormula>
    </tableColumn>
    <tableColumn id="25" xr3:uid="{BEDBC3B9-77F9-40AF-91B1-B42844980031}" name="Fat Delivery" dataDxfId="7" totalsRowDxfId="6">
      <calculatedColumnFormula>IF(AND(tbl_sale[[#This Row],[Delivery Status]]="Delivered",tbl_sale[[#This Row],[Delivery Performance]]="Fast"),1,0)</calculatedColumnFormula>
    </tableColumn>
    <tableColumn id="26" xr3:uid="{9254EB63-1B49-4617-8A53-6CA14407C9A7}" name="Deliverd" dataDxfId="5" totalsRowDxfId="4">
      <calculatedColumnFormula>IF(tbl_sale[[#This Row],[Delivery Status]]="Delivered",1,0)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C2818BA-DFF8-41D3-8E34-488802B7441C}">
  <we:reference id="wa200000018" version="25.2.0.0" store="en-US" storeType="OMEX"/>
  <we:alternateReferences>
    <we:reference id="wa200000018" version="25.2.0.0" store="wa200000018"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PSINORMAL</we:customFunctionIds>
        <we:customFunctionIds>PSIBERNOULLI</we:customFunctionIds>
        <we:customFunctionIds>PSIBETA</we:customFunctionIds>
        <we:customFunctionIds>PSIBETAGEN</we:customFunctionIds>
        <we:customFunctionIds>PSIBETASUBJ</we:customFunctionIds>
        <we:customFunctionIds>PSIBINOMIAL</we:customFunctionIds>
        <we:customFunctionIds>PSICAUCHY</we:customFunctionIds>
        <we:customFunctionIds>PSICHISQUARE</we:customFunctionIds>
        <we:customFunctionIds>PSICUMUL</we:customFunctionIds>
        <we:customFunctionIds>PSICUMULD</we:customFunctionIds>
        <we:customFunctionIds>PSIDISCRETE</we:customFunctionIds>
        <we:customFunctionIds>PSIDISUNIFORM</we:customFunctionIds>
        <we:customFunctionIds>PSIERF</we:customFunctionIds>
        <we:customFunctionIds>PSIERLANG</we:customFunctionIds>
        <we:customFunctionIds>PSIEXPONENTIAL</we:customFunctionIds>
        <we:customFunctionIds>PSIGAMMA</we:customFunctionIds>
        <we:customFunctionIds>PSIGENERAL</we:customFunctionIds>
        <we:customFunctionIds>PSIGEOMETRIC</we:customFunctionIds>
        <we:customFunctionIds>PSIHISTOGRAM</we:customFunctionIds>
        <we:customFunctionIds>PSIHYPERGEO</we:customFunctionIds>
        <we:customFunctionIds>PSIINTUNIFORM</we:customFunctionIds>
        <we:customFunctionIds>PSIINVNORMAL</we:customFunctionIds>
        <we:customFunctionIds>PSILAPLACE</we:customFunctionIds>
        <we:customFunctionIds>PSILOGARITHMIC</we:customFunctionIds>
        <we:customFunctionIds>PSILOGISTIC</we:customFunctionIds>
        <we:customFunctionIds>PSILOGLOGISTIC</we:customFunctionIds>
        <we:customFunctionIds>PSILOGNORMAL</we:customFunctionIds>
        <we:customFunctionIds>PSILOGNORM2</we:customFunctionIds>
        <we:customFunctionIds>PSIMAXEXTREME</we:customFunctionIds>
        <we:customFunctionIds>PSIMINEXTREME</we:customFunctionIds>
        <we:customFunctionIds>PSIMYERSON</we:customFunctionIds>
        <we:customFunctionIds>PSINEGBINOMIAL</we:customFunctionIds>
        <we:customFunctionIds>PSINORMALSKEW</we:customFunctionIds>
        <we:customFunctionIds>PSIPARETO</we:customFunctionIds>
        <we:customFunctionIds>PSIPARETO2</we:customFunctionIds>
        <we:customFunctionIds>PSIPEARSON5</we:customFunctionIds>
        <we:customFunctionIds>PSIPEARSON6</we:customFunctionIds>
        <we:customFunctionIds>PSIPERT</we:customFunctionIds>
        <we:customFunctionIds>PSIPOISSON</we:customFunctionIds>
        <we:customFunctionIds>PSIRAYLEIGH</we:customFunctionIds>
        <we:customFunctionIds>PSISTUDENT</we:customFunctionIds>
        <we:customFunctionIds>PSITRIANGULAR</we:customFunctionIds>
        <we:customFunctionIds>PSITRIANGGEN</we:customFunctionIds>
        <we:customFunctionIds>PSIUNIFORM</we:customFunctionIds>
        <we:customFunctionIds>PSIWEIBULL</we:customFunctionIds>
        <we:customFunctionIds>PSIBURR12</we:customFunctionIds>
        <we:customFunctionIds>PSIDAGUM</we:customFunctionIds>
        <we:customFunctionIds>PSIDBLTRIANG</we:customFunctionIds>
        <we:customFunctionIds>PSIFDIST</we:customFunctionIds>
        <we:customFunctionIds>PSIFATIGUELIFE</we:customFunctionIds>
        <we:customFunctionIds>PSIFRECHET</we:customFunctionIds>
        <we:customFunctionIds>PSIHYPSECANT</we:customFunctionIds>
        <we:customFunctionIds>PSIJOHNSONSB</we:customFunctionIds>
        <we:customFunctionIds>PSIJOHNSONSU</we:customFunctionIds>
        <we:customFunctionIds>PSIKUMARASWAMY</we:customFunctionIds>
        <we:customFunctionIds>PSILEVY</we:customFunctionIds>
        <we:customFunctionIds>PSIRECIPROCAL</we:customFunctionIds>
        <we:customFunctionIds>PSIVARY</we:customFunctionIds>
        <we:customFunctionIds>PSIMVLOGNORMAL</we:customFunctionIds>
        <we:customFunctionIds>PSIMVNORMAL</we:customFunctionIds>
        <we:customFunctionIds>PSIMVRESAMPLE</we:customFunctionIds>
        <we:customFunctionIds>PSIMVSHUFFLE</we:customFunctionIds>
        <we:customFunctionIds>PSIMEAN</we:customFunctionIds>
        <we:customFunctionIds>PSITHEOMEAN</we:customFunctionIds>
        <we:customFunctionIds>PSILOCK</we:customFunctionIds>
        <we:customFunctionIds>PSINAME</we:customFunctionIds>
        <we:customFunctionIds>PSISHIFT</we:customFunctionIds>
        <we:customFunctionIds>PSISAMPLE</we:customFunctionIds>
        <we:customFunctionIds>PSITRUNCATE</we:customFunctionIds>
        <we:customFunctionIds>PSISEED</we:customFunctionIds>
        <we:customFunctionIds>PSISIXSIGMA</we:customFunctionIds>
        <we:customFunctionIds>PSITSSYNC</we:customFunctionIds>
        <we:customFunctionIds>PSICONVERGENCE</we:customFunctionIds>
        <we:customFunctionIds>PSIISDATE</we:customFunctionIds>
        <we:customFunctionIds>PSIISDISCRETE</we:customFunctionIds>
        <we:customFunctionIds>PSILIBRARY</we:customFunctionIds>
        <we:customFunctionIds>PSIFITINFO</we:customFunctionIds>
        <we:customFunctionIds>PSIOUTPUT</we:customFunctionIds>
        <we:customFunctionIds>PSIINPUT</we:customFunctionIds>
        <we:customFunctionIds>PSISIMPARAM</we:customFunctionIds>
        <we:customFunctionIds>PSISENPARAM</we:customFunctionIds>
        <we:customFunctionIds>PSIOPTPARAM</we:customFunctionIds>
        <we:customFunctionIds>PSICALCPARAM</we:customFunctionIds>
        <we:customFunctionIds>PSISLURP</we:customFunctionIds>
        <we:customFunctionIds>PSISIP</we:customFunctionIds>
        <we:customFunctionIds>PSITSSIP</we:customFunctionIds>
        <we:customFunctionIds>PSICORRMATRIX</we:customFunctionIds>
        <we:customFunctionIds>PSICORRDEPEN</we:customFunctionIds>
        <we:customFunctionIds>PSICORRINDEP</we:customFunctionIds>
        <we:customFunctionIds>PSIFIT</we:customFunctionIds>
        <we:customFunctionIds>PSIDATA</we:customFunctionIds>
        <we:customFunctionIds>PSIKURTOSIS</we:customFunctionIds>
        <we:customFunctionIds>PSITHEOKURTOSIS</we:customFunctionIds>
        <we:customFunctionIds>PSIMAX</we:customFunctionIds>
        <we:customFunctionIds>PSITHEOMAX</we:customFunctionIds>
        <we:customFunctionIds>PSIMIN</we:customFunctionIds>
        <we:customFunctionIds>PSITHEOMIN</we:customFunctionIds>
        <we:customFunctionIds>PSIMODE</we:customFunctionIds>
        <we:customFunctionIds>PSITHEOMODE</we:customFunctionIds>
        <we:customFunctionIds>PSIPERCENTILE</we:customFunctionIds>
        <we:customFunctionIds>PSITHEOPERCENTILE</we:customFunctionIds>
        <we:customFunctionIds>PSIPTOX</we:customFunctionIds>
        <we:customFunctionIds>PSITHEOPTOX</we:customFunctionIds>
        <we:customFunctionIds>PSIPERCENTILED</we:customFunctionIds>
        <we:customFunctionIds>PSITHEOPERCENTILED</we:customFunctionIds>
        <we:customFunctionIds>PSIQTOX</we:customFunctionIds>
        <we:customFunctionIds>PSITHEOQTOX</we:customFunctionIds>
        <we:customFunctionIds>PSIRANGE</we:customFunctionIds>
        <we:customFunctionIds>PSITHEORANGE</we:customFunctionIds>
        <we:customFunctionIds>PSISKEWNESS</we:customFunctionIds>
        <we:customFunctionIds>PSITHEOSKEWNESS</we:customFunctionIds>
        <we:customFunctionIds>PSISTDDEV</we:customFunctionIds>
        <we:customFunctionIds>PSITHEOSTDDEV</we:customFunctionIds>
        <we:customFunctionIds>PSITARGET</we:customFunctionIds>
        <we:customFunctionIds>PSITHEOTARGET</we:customFunctionIds>
        <we:customFunctionIds>PSIXTOP</we:customFunctionIds>
        <we:customFunctionIds>PSITHEOXTOP</we:customFunctionIds>
        <we:customFunctionIds>PSITARGETD</we:customFunctionIds>
        <we:customFunctionIds>PSITHEOTARGETD</we:customFunctionIds>
        <we:customFunctionIds>PSIXTOQ</we:customFunctionIds>
        <we:customFunctionIds>PSITHEOXTOQ</we:customFunctionIds>
        <we:customFunctionIds>PSITHEOXTOY</we:customFunctionIds>
        <we:customFunctionIds>PSIVARIANCE</we:customFunctionIds>
        <we:customFunctionIds>PSITHEOVARIANCE</we:customFunctionIds>
        <we:customFunctionIds>PSIABSDEV</we:customFunctionIds>
        <we:customFunctionIds>PSICITRIALS</we:customFunctionIds>
        <we:customFunctionIds>PSICORRELATION</we:customFunctionIds>
        <we:customFunctionIds>PSIFREQUENCY</we:customFunctionIds>
        <we:customFunctionIds>PSIMEANCI</we:customFunctionIds>
        <we:customFunctionIds>PSIMEANCIB</we:customFunctionIds>
        <we:customFunctionIds>PSISEMIDEV</we:customFunctionIds>
        <we:customFunctionIds>PSISEMIDEV2</we:customFunctionIds>
        <we:customFunctionIds>PSISEMIVAR</we:customFunctionIds>
        <we:customFunctionIds>PSISEMIVAR2</we:customFunctionIds>
        <we:customFunctionIds>PSISTDDEVCI</we:customFunctionIds>
        <we:customFunctionIds>PSIBVAR</we:customFunctionIds>
        <we:customFunctionIds>PSICVAR</we:customFunctionIds>
        <we:customFunctionIds>PSICURRENTTRIAL</we:customFunctionIds>
        <we:customFunctionIds>PSICURRENTSIM</we:customFunctionIds>
        <we:customFunctionIds>PSICOUNT</we:customFunctionIds>
        <we:customFunctionIds>PSISENVALUE</we:customFunctionIds>
        <we:customFunctionIds>PSICURRENTOPT</we:customFunctionIds>
        <we:customFunctionIds>PSIMEDIAN</we:customFunctionIds>
        <we:customFunctionIds>PSITHEOMEDIAN</we:customFunctionIds>
        <we:customFunctionIds>PSIDIM</we:customFunctionIds>
        <we:customFunctionIds>PSICUBE</we:customFunctionIds>
        <we:customFunctionIds>PSIREDUCE</we:customFunctionIds>
        <we:customFunctionIds>PSIJOIN</we:customFunctionIds>
        <we:customFunctionIds>PSIOPTSTATUS</we:customFunctionIds>
        <we:customFunctionIds>PSIPIVOTCUBE</we:customFunctionIds>
        <we:customFunctionIds>PSICALCVALUE</we:customFunctionIds>
        <we:customFunctionIds>PSIOPTDATA</we:customFunctionIds>
        <we:customFunctionIds>PSIPARAMDIM</we:customFunctionIds>
        <we:customFunctionIds>PSIPIVOTDIM</we:customFunctionIds>
        <we:customFunctionIds>PSICUBEOUTPUT</we:customFunctionIds>
        <we:customFunctionIds>PSIDIMLOCK</we:customFunctionIds>
        <we:customFunctionIds>PSIDIMACTIVE</we:customFunctionIds>
        <we:customFunctionIds>PSICUBEDATA</we:customFunctionIds>
        <we:customFunctionIds>PSISIMOUTPUT</we:customFunctionIds>
        <we:customFunctionIds>PSISIMDATA</we:customFunctionIds>
        <we:customFunctionIds>PSIRESAMPLE</we:customFunctionIds>
        <we:customFunctionIds>PSITABLECUBE</we:customFunctionIds>
        <we:customFunctionIds>PSICOMPOUND</we:customFunctionIds>
        <we:customFunctionIds>PSICOPULA</we:customFunctionIds>
        <we:customFunctionIds>PSICOPULASTUDENT</we:customFunctionIds>
        <we:customFunctionIds>PSICOPULAGAUSS</we:customFunctionIds>
        <we:customFunctionIds>PSIKENDALLTAU</we:customFunctionIds>
        <we:customFunctionIds>PSISPEARMANRHO</we:customFunctionIds>
        <we:customFunctionIds>PSIMETALOG</we:customFunctionIds>
        <we:customFunctionIds>PSIMETALOG2</we:customFunctionIds>
        <we:customFunctionIds>PSIMETALOGSPT</we:customFunctionIds>
        <we:customFunctionIds>PSIMETALOGFIT</we:customFunctionIds>
        <we:customFunctionIds>PSIMETALOG2FIT</we:customFunctionIds>
        <we:customFunctionIds>PSIDATASRC</we:customFunctionIds>
        <we:customFunctionIds>PSIMODELSRC</we:customFunctionIds>
        <we:customFunctionIds>PSISIGMACP</we:customFunctionIds>
        <we:customFunctionIds>PSISIGMACPK</we:customFunctionIds>
        <we:customFunctionIds>PSISIGMACPKLOWER</we:customFunctionIds>
        <we:customFunctionIds>PSISIGMACPKUPPER</we:customFunctionIds>
        <we:customFunctionIds>PSISIGMACPM</we:customFunctionIds>
        <we:customFunctionIds>PSISIGMADEFECTPPM</we:customFunctionIds>
        <we:customFunctionIds>PSISIGMADEFECTSHIFTPPM</we:customFunctionIds>
        <we:customFunctionIds>PSISIGMADEFECTSHIFTPPMLower</we:customFunctionIds>
        <we:customFunctionIds>PSISIGMADEFECTSHIFTPPMUPPER</we:customFunctionIds>
        <we:customFunctionIds>PSISIGMAK</we:customFunctionIds>
        <we:customFunctionIds>PSISIGMALOWERBOUND</we:customFunctionIds>
        <we:customFunctionIds>PSISIGMAPROBDEFECTSHIFT</we:customFunctionIds>
        <we:customFunctionIds>PSISIGMAPROBDEFECTSHIFTLOWER</we:customFunctionIds>
        <we:customFunctionIds>PSISIGMAPROBDEFECTSHIFTUPPER</we:customFunctionIds>
        <we:customFunctionIds>PSISIGMASIGMALEVEL</we:customFunctionIds>
        <we:customFunctionIds>PSISIGMAUPPERBOUND</we:customFunctionIds>
        <we:customFunctionIds>PSISIGMAYIELD</we:customFunctionIds>
        <we:customFunctionIds>PSISIGMAZLOWER</we:customFunctionIds>
        <we:customFunctionIds>PSISIGMAZMIN</we:customFunctionIds>
        <we:customFunctionIds>PSISIGMAZUPPER</we:customFunctionIds>
        <we:customFunctionIds>PSIBETAGENALT</we:customFunctionIds>
        <we:customFunctionIds>PSICAUCHYALT</we:customFunctionIds>
        <we:customFunctionIds>PSICHISQUAREALT</we:customFunctionIds>
        <we:customFunctionIds>PSIERFALT</we:customFunctionIds>
        <we:customFunctionIds>PSIEXPONENTIALALT</we:customFunctionIds>
        <we:customFunctionIds>PSIGAMMAALT</we:customFunctionIds>
        <we:customFunctionIds>PSIINVNORMALALT</we:customFunctionIds>
        <we:customFunctionIds>PSILAPLACEALT</we:customFunctionIds>
        <we:customFunctionIds>PSILOGISTICALT</we:customFunctionIds>
        <we:customFunctionIds>PSILOGLOGISTICALT</we:customFunctionIds>
        <we:customFunctionIds>PSILOGNORMALALT</we:customFunctionIds>
        <we:customFunctionIds>PSIMAXEXTREMEALT</we:customFunctionIds>
        <we:customFunctionIds>PSIMINEXTREMEALT</we:customFunctionIds>
        <we:customFunctionIds>PSINORMALALT</we:customFunctionIds>
        <we:customFunctionIds>PSIUNIFORMALT</we:customFunctionIds>
        <we:customFunctionIds>PSITRIANGULARALT</we:customFunctionIds>
        <we:customFunctionIds>PSIPARETOALT</we:customFunctionIds>
        <we:customFunctionIds>PSIPARETO2ALT</we:customFunctionIds>
        <we:customFunctionIds>PSILEVYALT</we:customFunctionIds>
        <we:customFunctionIds>PSIHYPSECANTALT</we:customFunctionIds>
        <we:customFunctionIds>PSIPEARSON5ALT</we:customFunctionIds>
        <we:customFunctionIds>PSIPEARSON6ALT</we:customFunctionIds>
        <we:customFunctionIds>PSIPERTALT</we:customFunctionIds>
        <we:customFunctionIds>PSIRAYLEIGHALT</we:customFunctionIds>
        <we:customFunctionIds>PSISTUDENTALT</we:customFunctionIds>
        <we:customFunctionIds>PSIWEIBULLALT</we:customFunctionIds>
        <we:customFunctionIds>PSIFATIGUELIFEALT</we:customFunctionIds>
        <we:customFunctionIds>PSIFRECHETALT</we:customFunctionIds>
        <we:customFunctionIds>PSIOPTVALUE</we:customFunctionIds>
        <we:customFunctionIds>PSICOEFFVAR</we:customFunctionIds>
        <we:customFunctionIds>PSISTDERR</we:customFunctionIds>
        <we:customFunctionIds>PSIEXPGAIN</we:customFunctionIds>
        <we:customFunctionIds>PSIEXPGAINRATIO</we:customFunctionIds>
        <we:customFunctionIds>PSIEXPLOSS</we:customFunctionIds>
        <we:customFunctionIds>PSIEXPLOSSRATIO</we:customFunctionIds>
        <we:customFunctionIds>PSIEXPVALMARGIN</we:customFunctionIds>
        <we:customFunctionIds>PSICERTIFIED</we:customFunctionIds>
        <we:customFunctionIds>PSICENSOR</we:customFunctionIds>
        <we:customFunctionIds>PSIBASECASE</we:customFunctionIds>
        <we:customFunctionIds>PSIFORECASTETS</we:customFunctionIds>
        <we:customFunctionIds>PSIFORECASTLINEAR</we:customFunctionIds>
        <we:customFunctionIds>DOTPRODUCT</we:customFunctionIds>
        <we:customFunctionIds>QUADPRODUCT</we:customFunctionIds>
        <we:customFunctionIds>PSIDECTABLE</we:customFunctionIds>
        <we:customFunctionIds>PSIBOXFUNCTION</we:customFunctionIds>
        <we:customFunctionIds>PSIBOXITERATOR</we:customFunctionIds>
        <we:customFunctionIds>PSIINITIALVALUE</we:customFunctionIds>
        <we:customFunctionIds>PSIFINALVALUE</we:customFunctionIds>
        <we:customFunctionIds>PSIDUALVALUE</we:customFunctionIds>
        <we:customFunctionIds>PSISLACKVALUE</we:customFunctionIds>
        <we:customFunctionIds>PSIDUALUPPER</we:customFunctionIds>
        <we:customFunctionIds>PSIDUALLOWER</we:customFunctionIds>
        <we:customFunctionIds>PSITSINTEGRATE</we:customFunctionIds>
        <we:customFunctionIds>PSITRANSFORM</we:customFunctionIds>
        <we:customFunctionIds>PSITSSEASONALITY</we:customFunctionIds>
        <we:customFunctionIds>PSITSLEN</we:customFunctionIds>
        <we:customFunctionIds>PSIAR1</we:customFunctionIds>
        <we:customFunctionIds>PSIAR2</we:customFunctionIds>
        <we:customFunctionIds>PSIMA1</we:customFunctionIds>
        <we:customFunctionIds>PSIMA2</we:customFunctionIds>
        <we:customFunctionIds>PSIARMA11</we:customFunctionIds>
        <we:customFunctionIds>PSIARCH1</we:customFunctionIds>
        <we:customFunctionIds>PSIGARCH11</we:customFunctionIds>
        <we:customFunctionIds>PSIEGARCH11</we:customFunctionIds>
        <we:customFunctionIds>PSIAPARCH11</we:customFunctionIds>
        <we:customFunctionIds>PSITARGETCI</we:customFunctionIds>
        <we:customFunctionIds>PSIPERCENTILECI</we:customFunctionIds>
        <we:customFunctionIds>PSIPERCENTILES</we:customFunctionIds>
        <we:customFunctionIds>PSIMODELDESC</we:customFunctionIds>
        <we:customFunctionIds>PSICORRECTCORMAT</we:customFunctionIds>
        <we:customFunctionIds>PSISTATIC</we:customFunctionIds>
        <we:customFunctionIds>PSIMAKEINPUT</we:customFunctionIds>
        <we:customFunctionIds>PSISIMULATIONINFO</we:customFunctionIds>
        <we:customFunctionIds>PSICONVERGED</we:customFunctionIds>
        <we:customFunctionIds>PSIDISTINFO</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6007F-6758-414A-B0F7-B09CBB17E15D}">
  <dimension ref="A1:D26"/>
  <sheetViews>
    <sheetView tabSelected="1" zoomScale="41" zoomScaleNormal="70" workbookViewId="0">
      <selection activeCell="E28" sqref="E28"/>
    </sheetView>
  </sheetViews>
  <sheetFormatPr defaultRowHeight="14.4" x14ac:dyDescent="0.3"/>
  <cols>
    <col min="1" max="1" width="10.21875" style="59" bestFit="1" customWidth="1"/>
    <col min="2" max="2" width="12.33203125" style="59" bestFit="1" customWidth="1"/>
    <col min="3" max="3" width="14.33203125" style="59" bestFit="1" customWidth="1"/>
    <col min="4" max="4" width="13.109375" style="59" bestFit="1" customWidth="1"/>
    <col min="5" max="5" width="14.21875" style="59" bestFit="1" customWidth="1"/>
    <col min="6" max="6" width="15.77734375" style="59" bestFit="1" customWidth="1"/>
    <col min="7" max="7" width="13.5546875" style="59" bestFit="1" customWidth="1"/>
    <col min="8" max="8" width="12.109375" style="59" bestFit="1" customWidth="1"/>
    <col min="9" max="9" width="9" style="59" bestFit="1" customWidth="1"/>
    <col min="10" max="10" width="15.77734375" style="59" bestFit="1" customWidth="1"/>
    <col min="11" max="11" width="10.5546875" style="59" bestFit="1" customWidth="1"/>
    <col min="12" max="12" width="14.77734375" style="59" bestFit="1" customWidth="1"/>
    <col min="13" max="13" width="18.109375" style="59" bestFit="1" customWidth="1"/>
    <col min="14" max="14" width="18.88671875" style="59" bestFit="1" customWidth="1"/>
    <col min="15" max="15" width="16.88671875" style="59" bestFit="1" customWidth="1"/>
    <col min="16" max="16" width="16.109375" style="59" bestFit="1" customWidth="1"/>
    <col min="17" max="17" width="18" style="59" bestFit="1" customWidth="1"/>
    <col min="18" max="18" width="21.5546875" style="59" bestFit="1" customWidth="1"/>
    <col min="19" max="19" width="16.33203125" style="59" bestFit="1" customWidth="1"/>
    <col min="20" max="20" width="10.77734375" style="59" bestFit="1" customWidth="1"/>
    <col min="21" max="21" width="19.21875" style="59" bestFit="1" customWidth="1"/>
    <col min="22" max="22" width="12.88671875" style="59" bestFit="1" customWidth="1"/>
    <col min="23" max="23" width="13" style="59" bestFit="1" customWidth="1"/>
    <col min="24" max="24" width="10.109375" style="59" bestFit="1" customWidth="1"/>
    <col min="25" max="16384" width="8.88671875" style="59"/>
  </cols>
  <sheetData>
    <row r="1" spans="1:4" x14ac:dyDescent="0.3">
      <c r="A1" s="58"/>
    </row>
    <row r="4" spans="1:4" x14ac:dyDescent="0.3">
      <c r="B4" s="60"/>
      <c r="D4" s="60"/>
    </row>
    <row r="5" spans="1:4" x14ac:dyDescent="0.3">
      <c r="B5" s="60"/>
      <c r="D5" s="60"/>
    </row>
    <row r="6" spans="1:4" x14ac:dyDescent="0.3">
      <c r="B6" s="60"/>
    </row>
    <row r="7" spans="1:4" x14ac:dyDescent="0.3">
      <c r="B7" s="60"/>
    </row>
    <row r="8" spans="1:4" x14ac:dyDescent="0.3">
      <c r="B8" s="60"/>
      <c r="D8" s="60"/>
    </row>
    <row r="9" spans="1:4" x14ac:dyDescent="0.3">
      <c r="B9" s="60"/>
      <c r="C9" s="60"/>
    </row>
    <row r="10" spans="1:4" x14ac:dyDescent="0.3">
      <c r="B10" s="60"/>
      <c r="C10" s="60"/>
    </row>
    <row r="11" spans="1:4" x14ac:dyDescent="0.3">
      <c r="B11" s="60"/>
      <c r="C11" s="60"/>
    </row>
    <row r="12" spans="1:4" x14ac:dyDescent="0.3">
      <c r="B12" s="60"/>
      <c r="D12" s="60"/>
    </row>
    <row r="13" spans="1:4" x14ac:dyDescent="0.3">
      <c r="B13" s="60"/>
      <c r="C13" s="60"/>
    </row>
    <row r="14" spans="1:4" x14ac:dyDescent="0.3">
      <c r="B14" s="60"/>
      <c r="D14" s="60"/>
    </row>
    <row r="15" spans="1:4" x14ac:dyDescent="0.3">
      <c r="B15" s="60"/>
      <c r="C15" s="60"/>
    </row>
    <row r="16" spans="1:4" x14ac:dyDescent="0.3">
      <c r="B16" s="60"/>
      <c r="D16" s="60"/>
    </row>
    <row r="17" spans="2:4" x14ac:dyDescent="0.3">
      <c r="B17" s="60"/>
    </row>
    <row r="18" spans="2:4" x14ac:dyDescent="0.3">
      <c r="B18" s="60"/>
      <c r="D18" s="60"/>
    </row>
    <row r="19" spans="2:4" x14ac:dyDescent="0.3">
      <c r="B19" s="60"/>
      <c r="C19" s="60"/>
    </row>
    <row r="20" spans="2:4" x14ac:dyDescent="0.3">
      <c r="B20" s="60"/>
    </row>
    <row r="21" spans="2:4" x14ac:dyDescent="0.3">
      <c r="B21" s="60"/>
    </row>
    <row r="22" spans="2:4" x14ac:dyDescent="0.3">
      <c r="B22" s="60"/>
    </row>
    <row r="23" spans="2:4" x14ac:dyDescent="0.3">
      <c r="B23" s="60"/>
    </row>
    <row r="24" spans="2:4" x14ac:dyDescent="0.3">
      <c r="B24" s="60"/>
      <c r="C24" s="60"/>
    </row>
    <row r="25" spans="2:4" x14ac:dyDescent="0.3">
      <c r="B25" s="60"/>
      <c r="D25" s="60"/>
    </row>
    <row r="26" spans="2:4" x14ac:dyDescent="0.3">
      <c r="B26" s="60"/>
    </row>
  </sheetData>
  <pageMargins left="0.23622047244094491" right="0.23622047244094491"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D6DB-2085-4AA8-BE12-E3DD05A4F3BB}">
  <dimension ref="D6:K30"/>
  <sheetViews>
    <sheetView showGridLines="0" topLeftCell="A15" zoomScale="68" workbookViewId="0">
      <selection activeCell="V42" sqref="V42"/>
    </sheetView>
  </sheetViews>
  <sheetFormatPr defaultRowHeight="21" x14ac:dyDescent="0.5"/>
  <cols>
    <col min="1" max="16384" width="8.88671875" style="66"/>
  </cols>
  <sheetData>
    <row r="6" spans="4:4" x14ac:dyDescent="0.5">
      <c r="D6" s="67"/>
    </row>
    <row r="12" spans="4:4" x14ac:dyDescent="0.5">
      <c r="D12" s="67"/>
    </row>
    <row r="30" spans="11:11" x14ac:dyDescent="0.5">
      <c r="K30" s="6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07FBF-80E7-4B24-AE84-B6E45D71845A}">
  <dimension ref="A1:O39"/>
  <sheetViews>
    <sheetView zoomScale="62" workbookViewId="0">
      <selection activeCell="A16" sqref="A16:B16"/>
    </sheetView>
  </sheetViews>
  <sheetFormatPr defaultRowHeight="14.4" x14ac:dyDescent="0.3"/>
  <cols>
    <col min="1" max="1" width="27.33203125" bestFit="1" customWidth="1"/>
    <col min="2" max="2" width="17.109375" customWidth="1"/>
    <col min="3" max="3" width="5" bestFit="1" customWidth="1"/>
    <col min="4" max="5" width="6" bestFit="1" customWidth="1"/>
    <col min="6" max="6" width="5.21875" bestFit="1" customWidth="1"/>
    <col min="7" max="7" width="7" bestFit="1" customWidth="1"/>
    <col min="8" max="8" width="10.77734375" bestFit="1" customWidth="1"/>
    <col min="9" max="9" width="17.6640625" bestFit="1" customWidth="1"/>
    <col min="10" max="10" width="43.109375" bestFit="1" customWidth="1"/>
    <col min="14" max="14" width="25.33203125" bestFit="1" customWidth="1"/>
    <col min="15" max="15" width="19.44140625" bestFit="1" customWidth="1"/>
  </cols>
  <sheetData>
    <row r="1" spans="1:15" ht="18" customHeight="1" x14ac:dyDescent="0.35">
      <c r="A1" s="42" t="s">
        <v>10</v>
      </c>
      <c r="B1" t="s">
        <v>325</v>
      </c>
      <c r="I1" s="73" t="s">
        <v>327</v>
      </c>
      <c r="J1" s="74"/>
    </row>
    <row r="2" spans="1:15" x14ac:dyDescent="0.3">
      <c r="A2" s="42" t="s">
        <v>9</v>
      </c>
      <c r="B2" t="s">
        <v>321</v>
      </c>
      <c r="I2" s="51" t="s">
        <v>319</v>
      </c>
      <c r="J2" s="27" t="s">
        <v>328</v>
      </c>
      <c r="N2" s="57" t="s">
        <v>326</v>
      </c>
      <c r="O2" s="55" t="s">
        <v>325</v>
      </c>
    </row>
    <row r="3" spans="1:15" ht="18" x14ac:dyDescent="0.35">
      <c r="I3" s="48" t="s">
        <v>41</v>
      </c>
      <c r="J3" s="49">
        <v>0.35714285714285715</v>
      </c>
      <c r="N3" s="69" t="s">
        <v>335</v>
      </c>
      <c r="O3" s="69"/>
    </row>
    <row r="4" spans="1:15" x14ac:dyDescent="0.3">
      <c r="A4" s="42" t="s">
        <v>5</v>
      </c>
      <c r="B4" t="s">
        <v>318</v>
      </c>
      <c r="I4" s="48" t="s">
        <v>21</v>
      </c>
      <c r="J4" s="49">
        <v>0.16666666666666666</v>
      </c>
      <c r="N4" s="56" t="s">
        <v>318</v>
      </c>
    </row>
    <row r="5" spans="1:15" x14ac:dyDescent="0.3">
      <c r="A5" s="43" t="s">
        <v>46</v>
      </c>
      <c r="B5" s="36">
        <v>6921</v>
      </c>
      <c r="I5" s="48" t="s">
        <v>15</v>
      </c>
      <c r="J5" s="49">
        <v>0.4</v>
      </c>
      <c r="N5" s="62">
        <v>28297</v>
      </c>
    </row>
    <row r="6" spans="1:15" x14ac:dyDescent="0.3">
      <c r="A6" s="43" t="s">
        <v>15</v>
      </c>
      <c r="B6" s="36">
        <v>7030</v>
      </c>
      <c r="I6" s="48" t="s">
        <v>25</v>
      </c>
      <c r="J6" s="49">
        <v>0.2</v>
      </c>
    </row>
    <row r="7" spans="1:15" x14ac:dyDescent="0.3">
      <c r="A7" s="43" t="s">
        <v>25</v>
      </c>
      <c r="B7" s="36">
        <v>6779</v>
      </c>
      <c r="I7" s="48" t="s">
        <v>46</v>
      </c>
      <c r="J7" s="49">
        <v>0.34782608695652173</v>
      </c>
    </row>
    <row r="8" spans="1:15" ht="18" x14ac:dyDescent="0.35">
      <c r="A8" s="43" t="s">
        <v>21</v>
      </c>
      <c r="B8" s="36">
        <v>3353</v>
      </c>
      <c r="I8" s="48" t="s">
        <v>320</v>
      </c>
      <c r="J8" s="50">
        <v>0.3</v>
      </c>
      <c r="N8" s="70" t="s">
        <v>336</v>
      </c>
      <c r="O8" s="69"/>
    </row>
    <row r="9" spans="1:15" x14ac:dyDescent="0.3">
      <c r="A9" s="43" t="s">
        <v>41</v>
      </c>
      <c r="B9" s="36">
        <v>4214</v>
      </c>
      <c r="N9" s="27" t="s">
        <v>337</v>
      </c>
    </row>
    <row r="10" spans="1:15" x14ac:dyDescent="0.3">
      <c r="A10" s="43" t="s">
        <v>320</v>
      </c>
      <c r="B10" s="36">
        <v>28297</v>
      </c>
      <c r="N10" s="49">
        <v>0.3235294117647059</v>
      </c>
    </row>
    <row r="12" spans="1:15" ht="18" x14ac:dyDescent="0.35">
      <c r="A12" s="75" t="s">
        <v>330</v>
      </c>
      <c r="B12" s="75"/>
    </row>
    <row r="13" spans="1:15" ht="18" x14ac:dyDescent="0.35">
      <c r="N13" s="70" t="s">
        <v>338</v>
      </c>
      <c r="O13" s="69"/>
    </row>
    <row r="14" spans="1:15" x14ac:dyDescent="0.3">
      <c r="N14" s="54" t="s">
        <v>326</v>
      </c>
      <c r="O14" s="29" t="s">
        <v>325</v>
      </c>
    </row>
    <row r="16" spans="1:15" ht="18" x14ac:dyDescent="0.35">
      <c r="A16" s="75" t="s">
        <v>331</v>
      </c>
      <c r="B16" s="76"/>
      <c r="I16" s="75" t="s">
        <v>329</v>
      </c>
      <c r="J16" s="75"/>
      <c r="K16" s="75"/>
      <c r="N16" s="51" t="s">
        <v>319</v>
      </c>
      <c r="O16" s="27" t="s">
        <v>318</v>
      </c>
    </row>
    <row r="17" spans="1:15" x14ac:dyDescent="0.3">
      <c r="A17" s="54" t="s">
        <v>9</v>
      </c>
      <c r="B17" s="53" t="s">
        <v>321</v>
      </c>
      <c r="I17" s="42" t="s">
        <v>9</v>
      </c>
      <c r="J17" t="s">
        <v>321</v>
      </c>
      <c r="N17" s="48" t="s">
        <v>15</v>
      </c>
      <c r="O17" s="63">
        <v>7030</v>
      </c>
    </row>
    <row r="18" spans="1:15" x14ac:dyDescent="0.3">
      <c r="A18" s="54" t="s">
        <v>192</v>
      </c>
      <c r="B18" s="53" t="s">
        <v>321</v>
      </c>
      <c r="I18" s="42" t="s">
        <v>326</v>
      </c>
      <c r="J18" t="s">
        <v>325</v>
      </c>
      <c r="N18" s="48" t="s">
        <v>46</v>
      </c>
      <c r="O18" s="63">
        <v>6921</v>
      </c>
    </row>
    <row r="19" spans="1:15" x14ac:dyDescent="0.3">
      <c r="N19" s="48" t="s">
        <v>25</v>
      </c>
      <c r="O19" s="63">
        <v>6779</v>
      </c>
    </row>
    <row r="20" spans="1:15" x14ac:dyDescent="0.3">
      <c r="A20" s="51" t="s">
        <v>319</v>
      </c>
      <c r="B20" s="27" t="s">
        <v>332</v>
      </c>
      <c r="I20" s="42" t="s">
        <v>319</v>
      </c>
      <c r="J20" s="27" t="s">
        <v>318</v>
      </c>
      <c r="N20" s="48" t="s">
        <v>41</v>
      </c>
      <c r="O20" s="63">
        <v>4214</v>
      </c>
    </row>
    <row r="21" spans="1:15" x14ac:dyDescent="0.3">
      <c r="A21" s="48" t="s">
        <v>323</v>
      </c>
      <c r="B21" s="65">
        <v>30</v>
      </c>
      <c r="I21" s="46" t="s">
        <v>196</v>
      </c>
      <c r="J21" s="64">
        <v>13035</v>
      </c>
      <c r="N21" s="48" t="s">
        <v>21</v>
      </c>
      <c r="O21" s="63">
        <v>3353</v>
      </c>
    </row>
    <row r="22" spans="1:15" x14ac:dyDescent="0.3">
      <c r="A22" s="48" t="s">
        <v>324</v>
      </c>
      <c r="B22" s="65">
        <v>34</v>
      </c>
      <c r="I22" s="46" t="s">
        <v>207</v>
      </c>
      <c r="J22" s="64">
        <v>2425</v>
      </c>
      <c r="N22" s="48" t="s">
        <v>320</v>
      </c>
      <c r="O22" s="63">
        <v>28297</v>
      </c>
    </row>
    <row r="23" spans="1:15" x14ac:dyDescent="0.3">
      <c r="A23" s="48" t="s">
        <v>322</v>
      </c>
      <c r="B23" s="65">
        <v>36</v>
      </c>
      <c r="I23" s="46" t="s">
        <v>202</v>
      </c>
      <c r="J23" s="64">
        <v>8450</v>
      </c>
    </row>
    <row r="24" spans="1:15" x14ac:dyDescent="0.3">
      <c r="A24" s="48" t="s">
        <v>320</v>
      </c>
      <c r="B24" s="65">
        <v>100</v>
      </c>
      <c r="I24" s="46" t="s">
        <v>199</v>
      </c>
      <c r="J24" s="64">
        <v>2989</v>
      </c>
    </row>
    <row r="25" spans="1:15" x14ac:dyDescent="0.3">
      <c r="I25" s="47" t="s">
        <v>214</v>
      </c>
      <c r="J25" s="64">
        <v>1398</v>
      </c>
      <c r="N25" s="54" t="s">
        <v>326</v>
      </c>
      <c r="O25" s="53" t="s">
        <v>325</v>
      </c>
    </row>
    <row r="26" spans="1:15" ht="18" x14ac:dyDescent="0.35">
      <c r="I26" s="48" t="s">
        <v>320</v>
      </c>
      <c r="J26" s="64">
        <v>28297</v>
      </c>
      <c r="N26" s="70" t="s">
        <v>339</v>
      </c>
      <c r="O26" s="69"/>
    </row>
    <row r="27" spans="1:15" x14ac:dyDescent="0.3">
      <c r="N27" s="51" t="s">
        <v>319</v>
      </c>
      <c r="O27" s="27" t="s">
        <v>318</v>
      </c>
    </row>
    <row r="28" spans="1:15" x14ac:dyDescent="0.3">
      <c r="N28" s="48" t="s">
        <v>195</v>
      </c>
      <c r="O28" s="63">
        <v>9644</v>
      </c>
    </row>
    <row r="29" spans="1:15" ht="18" x14ac:dyDescent="0.35">
      <c r="A29" s="75" t="s">
        <v>334</v>
      </c>
      <c r="B29" s="76"/>
      <c r="N29" s="48" t="s">
        <v>320</v>
      </c>
      <c r="O29" s="63">
        <v>9644</v>
      </c>
    </row>
    <row r="30" spans="1:15" x14ac:dyDescent="0.3">
      <c r="A30" s="54" t="s">
        <v>9</v>
      </c>
      <c r="B30" s="53" t="s">
        <v>321</v>
      </c>
    </row>
    <row r="31" spans="1:15" x14ac:dyDescent="0.3">
      <c r="A31" s="54" t="s">
        <v>192</v>
      </c>
      <c r="B31" s="53" t="s">
        <v>321</v>
      </c>
    </row>
    <row r="33" spans="1:2" x14ac:dyDescent="0.3">
      <c r="A33" s="27" t="s">
        <v>333</v>
      </c>
    </row>
    <row r="34" spans="1:2" x14ac:dyDescent="0.3">
      <c r="A34" s="52">
        <v>3.7647058823529411</v>
      </c>
    </row>
    <row r="37" spans="1:2" ht="18" x14ac:dyDescent="0.35">
      <c r="A37" s="71" t="s">
        <v>340</v>
      </c>
      <c r="B37" s="72"/>
    </row>
    <row r="38" spans="1:2" x14ac:dyDescent="0.3">
      <c r="A38" s="56" t="s">
        <v>341</v>
      </c>
    </row>
    <row r="39" spans="1:2" x14ac:dyDescent="0.3">
      <c r="A39" s="61">
        <v>13656</v>
      </c>
    </row>
  </sheetData>
  <mergeCells count="10">
    <mergeCell ref="I1:J1"/>
    <mergeCell ref="I16:K16"/>
    <mergeCell ref="A12:B12"/>
    <mergeCell ref="A16:B16"/>
    <mergeCell ref="A29:B29"/>
    <mergeCell ref="N3:O3"/>
    <mergeCell ref="N8:O8"/>
    <mergeCell ref="N13:O13"/>
    <mergeCell ref="N26:O26"/>
    <mergeCell ref="A37:B37"/>
  </mergeCells>
  <conditionalFormatting sqref="N17:N19">
    <cfRule type="dataBar" priority="2">
      <dataBar>
        <cfvo type="min"/>
        <cfvo type="max"/>
        <color rgb="FF63C384"/>
      </dataBar>
      <extLst>
        <ext xmlns:x14="http://schemas.microsoft.com/office/spreadsheetml/2009/9/main" uri="{B025F937-C7B1-47D3-B67F-A62EFF666E3E}">
          <x14:id>{2F28DEA0-CBB9-4FB4-B89D-4FC8ACE3DF55}</x14:id>
        </ext>
      </extLst>
    </cfRule>
    <cfRule type="colorScale" priority="4">
      <colorScale>
        <cfvo type="min"/>
        <cfvo type="percentile" val="50"/>
        <cfvo type="max"/>
        <color rgb="FFF8696B"/>
        <color rgb="FFFFEB84"/>
        <color rgb="FF63BE7B"/>
      </colorScale>
    </cfRule>
  </conditionalFormatting>
  <conditionalFormatting sqref="N17:N20">
    <cfRule type="dataBar" priority="3">
      <dataBar>
        <cfvo type="min"/>
        <cfvo type="max"/>
        <color rgb="FF63C384"/>
      </dataBar>
      <extLst>
        <ext xmlns:x14="http://schemas.microsoft.com/office/spreadsheetml/2009/9/main" uri="{B025F937-C7B1-47D3-B67F-A62EFF666E3E}">
          <x14:id>{B0F7378E-7517-459A-8006-B6698B025463}</x14:id>
        </ext>
      </extLst>
    </cfRule>
  </conditionalFormatting>
  <conditionalFormatting pivot="1" sqref="O17:O19">
    <cfRule type="dataBar" priority="1">
      <dataBar>
        <cfvo type="min"/>
        <cfvo type="max"/>
        <color rgb="FF63C384"/>
      </dataBar>
      <extLst>
        <ext xmlns:x14="http://schemas.microsoft.com/office/spreadsheetml/2009/9/main" uri="{B025F937-C7B1-47D3-B67F-A62EFF666E3E}">
          <x14:id>{C4C5A485-8CEA-4CF4-AA7E-726222075E62}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F28DEA0-CBB9-4FB4-B89D-4FC8ACE3DF55}">
            <x14:dataBar minLength="0" maxLength="100" border="1" negativeBarBorderColorSameAsPositive="0">
              <x14:cfvo type="autoMin"/>
              <x14:cfvo type="autoMax"/>
              <x14:borderColor rgb="FF63C384"/>
              <x14:negativeFillColor rgb="FFFF0000"/>
              <x14:negativeBorderColor rgb="FFFF0000"/>
              <x14:axisColor rgb="FF000000"/>
            </x14:dataBar>
          </x14:cfRule>
          <xm:sqref>N17:N19</xm:sqref>
        </x14:conditionalFormatting>
        <x14:conditionalFormatting xmlns:xm="http://schemas.microsoft.com/office/excel/2006/main">
          <x14:cfRule type="dataBar" id="{B0F7378E-7517-459A-8006-B6698B025463}">
            <x14:dataBar minLength="0" maxLength="100" border="1" negativeBarBorderColorSameAsPositive="0">
              <x14:cfvo type="autoMin"/>
              <x14:cfvo type="autoMax"/>
              <x14:borderColor rgb="FF63C384"/>
              <x14:negativeFillColor rgb="FFFF0000"/>
              <x14:negativeBorderColor rgb="FFFF0000"/>
              <x14:axisColor rgb="FF000000"/>
            </x14:dataBar>
          </x14:cfRule>
          <xm:sqref>N17:N20</xm:sqref>
        </x14:conditionalFormatting>
        <x14:conditionalFormatting xmlns:xm="http://schemas.microsoft.com/office/excel/2006/main" pivot="1">
          <x14:cfRule type="dataBar" id="{C4C5A485-8CEA-4CF4-AA7E-726222075E62}">
            <x14:dataBar minLength="0" maxLength="100" gradient="0">
              <x14:cfvo type="autoMin"/>
              <x14:cfvo type="autoMax"/>
              <x14:negativeFillColor rgb="FFFF0000"/>
              <x14:axisColor rgb="FF000000"/>
            </x14:dataBar>
          </x14:cfRule>
          <xm:sqref>O17:O19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2"/>
  <sheetViews>
    <sheetView topLeftCell="D1" zoomScale="84" workbookViewId="0">
      <pane ySplit="1" topLeftCell="A2" activePane="bottomLeft" state="frozen"/>
      <selection pane="bottomLeft" activeCell="J106" sqref="J106"/>
    </sheetView>
  </sheetViews>
  <sheetFormatPr defaultColWidth="14.44140625" defaultRowHeight="15" customHeight="1" x14ac:dyDescent="0.3"/>
  <cols>
    <col min="1" max="1" width="8.6640625" bestFit="1" customWidth="1"/>
    <col min="2" max="2" width="25.5546875" style="31" customWidth="1"/>
    <col min="3" max="3" width="18.6640625" style="25" bestFit="1" customWidth="1"/>
    <col min="4" max="4" width="17.109375" style="25" bestFit="1" customWidth="1"/>
    <col min="5" max="6" width="17.109375" style="25" customWidth="1"/>
    <col min="7" max="7" width="8.33203125" bestFit="1" customWidth="1"/>
    <col min="8" max="8" width="8.6640625" bestFit="1" customWidth="1"/>
    <col min="9" max="9" width="9.21875" bestFit="1" customWidth="1"/>
    <col min="10" max="10" width="13.5546875" style="36" bestFit="1" customWidth="1"/>
    <col min="11" max="11" width="8.33203125" bestFit="1" customWidth="1"/>
    <col min="12" max="12" width="12.5546875" style="40" bestFit="1" customWidth="1"/>
    <col min="13" max="13" width="10.88671875" bestFit="1" customWidth="1"/>
    <col min="14" max="14" width="15" bestFit="1" customWidth="1"/>
    <col min="15" max="15" width="14" bestFit="1" customWidth="1"/>
    <col min="16" max="16" width="16.33203125" bestFit="1" customWidth="1"/>
    <col min="17" max="18" width="16.33203125" customWidth="1"/>
    <col min="19" max="19" width="16.33203125" bestFit="1" customWidth="1"/>
    <col min="20" max="20" width="16.77734375" bestFit="1" customWidth="1"/>
    <col min="21" max="21" width="16.88671875" customWidth="1"/>
    <col min="22" max="22" width="8.6640625" customWidth="1"/>
    <col min="23" max="23" width="15.44140625" customWidth="1"/>
    <col min="24" max="25" width="8.6640625" customWidth="1"/>
  </cols>
  <sheetData>
    <row r="1" spans="1:24" ht="18" customHeight="1" x14ac:dyDescent="0.3">
      <c r="A1" s="14" t="s">
        <v>0</v>
      </c>
      <c r="B1" s="23" t="s">
        <v>1</v>
      </c>
      <c r="C1" s="32" t="s">
        <v>311</v>
      </c>
      <c r="D1" s="22" t="s">
        <v>2</v>
      </c>
      <c r="E1" s="22" t="s">
        <v>312</v>
      </c>
      <c r="F1" s="22" t="s">
        <v>10</v>
      </c>
      <c r="G1" s="15" t="s">
        <v>3</v>
      </c>
      <c r="H1" s="15" t="s">
        <v>4</v>
      </c>
      <c r="I1" s="15" t="s">
        <v>5</v>
      </c>
      <c r="J1" s="33" t="s">
        <v>6</v>
      </c>
      <c r="K1" s="16" t="s">
        <v>7</v>
      </c>
      <c r="L1" s="37" t="s">
        <v>8</v>
      </c>
      <c r="M1" s="15" t="s">
        <v>9</v>
      </c>
      <c r="N1" s="17" t="s">
        <v>11</v>
      </c>
      <c r="O1" s="26" t="s">
        <v>307</v>
      </c>
      <c r="P1" s="26" t="s">
        <v>191</v>
      </c>
      <c r="Q1" s="26" t="s">
        <v>310</v>
      </c>
      <c r="R1" s="30" t="s">
        <v>316</v>
      </c>
      <c r="S1" s="15" t="s">
        <v>308</v>
      </c>
      <c r="T1" s="15" t="s">
        <v>309</v>
      </c>
      <c r="U1" s="41" t="s">
        <v>313</v>
      </c>
      <c r="V1" s="41" t="s">
        <v>314</v>
      </c>
      <c r="W1" s="41" t="s">
        <v>315</v>
      </c>
      <c r="X1" s="41" t="s">
        <v>317</v>
      </c>
    </row>
    <row r="2" spans="1:24" ht="18" customHeight="1" x14ac:dyDescent="0.3">
      <c r="A2" s="12" t="s">
        <v>12</v>
      </c>
      <c r="B2" s="23">
        <v>45291</v>
      </c>
      <c r="C2" s="23"/>
      <c r="D2" s="23">
        <v>45293</v>
      </c>
      <c r="E2" s="23" t="str">
        <f>TEXT(tbl_sale[[#This Row],[Order Date]],"MMM")</f>
        <v>Dec</v>
      </c>
      <c r="F2" s="23" t="str">
        <f t="shared" ref="F2:F65" si="0">IF(D2&lt;&gt;"","Cancelled",IF(C2&lt;&gt;"","Delivered","In Transit"))</f>
        <v>Cancelled</v>
      </c>
      <c r="G2" s="2" t="s">
        <v>13</v>
      </c>
      <c r="H2" s="2" t="s">
        <v>14</v>
      </c>
      <c r="I2" s="2" t="s">
        <v>15</v>
      </c>
      <c r="J2" s="34">
        <v>44</v>
      </c>
      <c r="K2" s="3">
        <v>1</v>
      </c>
      <c r="L2" s="38">
        <v>44</v>
      </c>
      <c r="M2" s="2" t="s">
        <v>16</v>
      </c>
      <c r="N2" s="13" t="s">
        <v>17</v>
      </c>
      <c r="O2" s="27" t="str">
        <f>_xlfn.XLOOKUP(tbl_sale[[#This Row],[Customer ID]],CustomerMaster!A:A,CustomerMaster!B:B,"NA",0)</f>
        <v>Zoe Mitchell</v>
      </c>
      <c r="P2" s="27" t="str">
        <f>_xlfn.XLOOKUP(tbl_sale[[#This Row],[Product ID]],ProductMaster!$A$2:$A$23,ProductMaster!$B$2:$B$23,"NA",0)</f>
        <v>Lamp</v>
      </c>
      <c r="Q2" s="27" t="str">
        <f>_xlfn.XLOOKUP(tbl_sale[[#This Row],[Product ID]],ProductMaster!$A$2:$A$23,ProductMaster!$C$2:$C$23,"NA",0)</f>
        <v>Home</v>
      </c>
      <c r="R2" s="28" t="str">
        <f>IFERROR(IF(tbl_sale[[#This Row],[Delivery Date]]="","Pending",IF(tbl_sale[[#This Row],[Delivery Date]]-tbl_sale[[#This Row],[Order Date]]&lt;= 2,"Fast","Slow")),"Error")</f>
        <v>Pending</v>
      </c>
      <c r="S2" s="28">
        <f>_xlfn.XLOOKUP(tbl_sale[[#This Row],[Region]],RegionGoals!$A$2:$A$6,RegionGoals!$B$2:$B$6, ,0)</f>
        <v>105000</v>
      </c>
      <c r="T2" s="28" t="str">
        <f>_xlfn.XLOOKUP(tbl_sale[[#This Row],[Customer ID]],CustomerMaster!$A:$A,CustomerMaster!$C:$C,"NA",0)</f>
        <v>Individual</v>
      </c>
      <c r="U2" s="28">
        <f>IF(tbl_sale[[#This Row],[Delivery Status]]="Cancelled",1,0)</f>
        <v>1</v>
      </c>
      <c r="V2" s="28">
        <f>IF(tbl_sale[[#This Row],[Order ID]]&lt;&gt;"",1,0)</f>
        <v>1</v>
      </c>
      <c r="W2" s="28">
        <f>IF(AND(tbl_sale[[#This Row],[Delivery Status]]="Delivered",tbl_sale[[#This Row],[Delivery Performance]]="Fast"),1,0)</f>
        <v>0</v>
      </c>
      <c r="X2" s="28">
        <f>IF(tbl_sale[[#This Row],[Delivery Status]]="Delivered",1,0)</f>
        <v>0</v>
      </c>
    </row>
    <row r="3" spans="1:24" ht="18" customHeight="1" x14ac:dyDescent="0.3">
      <c r="A3" s="12" t="s">
        <v>18</v>
      </c>
      <c r="B3" s="23">
        <v>44979</v>
      </c>
      <c r="C3" s="23">
        <v>44981</v>
      </c>
      <c r="D3" s="23"/>
      <c r="E3" s="23" t="str">
        <f>TEXT(tbl_sale[[#This Row],[Order Date]],"MMM")</f>
        <v>Feb</v>
      </c>
      <c r="F3" s="23" t="str">
        <f t="shared" si="0"/>
        <v>Delivered</v>
      </c>
      <c r="G3" s="2" t="s">
        <v>19</v>
      </c>
      <c r="H3" s="2" t="s">
        <v>20</v>
      </c>
      <c r="I3" s="2" t="s">
        <v>21</v>
      </c>
      <c r="J3" s="34">
        <v>96</v>
      </c>
      <c r="K3" s="3">
        <v>4</v>
      </c>
      <c r="L3" s="38">
        <v>384</v>
      </c>
      <c r="M3" s="2" t="s">
        <v>22</v>
      </c>
      <c r="N3" s="13" t="s">
        <v>17</v>
      </c>
      <c r="O3" s="27" t="str">
        <f>_xlfn.XLOOKUP(tbl_sale[[#This Row],[Customer ID]],CustomerMaster!A:A,CustomerMaster!B:B,"NA",0)</f>
        <v>Ava White</v>
      </c>
      <c r="P3" s="27" t="str">
        <f>_xlfn.XLOOKUP(tbl_sale[[#This Row],[Product ID]],ProductMaster!$A$2:$A$23,ProductMaster!$B$2:$B$23,"NA",0)</f>
        <v>Doll House</v>
      </c>
      <c r="Q3" s="27" t="str">
        <f>_xlfn.XLOOKUP(tbl_sale[[#This Row],[Product ID]],ProductMaster!$A$2:$A$23,ProductMaster!$C$2:$C$23,"NA",0)</f>
        <v>Toys</v>
      </c>
      <c r="R3" s="27" t="str">
        <f>IFERROR(IF(tbl_sale[[#This Row],[Delivery Date]]="","Pending",IF(tbl_sale[[#This Row],[Delivery Date]]-tbl_sale[[#This Row],[Order Date]]&lt;= 2,"Fast","Slow")),"Error")</f>
        <v>Fast</v>
      </c>
      <c r="S3" s="27">
        <f>_xlfn.XLOOKUP(tbl_sale[[#This Row],[Region]],RegionGoals!$A$2:$A$6,RegionGoals!$B$2:$B$6, ,0)</f>
        <v>50500</v>
      </c>
      <c r="T3" s="27" t="str">
        <f>_xlfn.XLOOKUP(tbl_sale[[#This Row],[Customer ID]],CustomerMaster!$A:$A,CustomerMaster!$C:$C,"NA",0)</f>
        <v>Individual</v>
      </c>
      <c r="U3" s="27">
        <f>IF(tbl_sale[[#This Row],[Delivery Status]]="Cancelled",1,0)</f>
        <v>0</v>
      </c>
      <c r="V3" s="27">
        <f>IF(tbl_sale[[#This Row],[Order ID]]&lt;&gt;"",1,0)</f>
        <v>1</v>
      </c>
      <c r="W3" s="27">
        <f>IF(AND(tbl_sale[[#This Row],[Delivery Status]]="Delivered",tbl_sale[[#This Row],[Delivery Performance]]="Fast"),1,0)</f>
        <v>1</v>
      </c>
      <c r="X3" s="27">
        <f>IF(tbl_sale[[#This Row],[Delivery Status]]="Delivered",1,0)</f>
        <v>1</v>
      </c>
    </row>
    <row r="4" spans="1:24" ht="18" customHeight="1" x14ac:dyDescent="0.3">
      <c r="A4" s="12" t="s">
        <v>23</v>
      </c>
      <c r="B4" s="23">
        <v>45210</v>
      </c>
      <c r="C4" s="23"/>
      <c r="D4" s="23"/>
      <c r="E4" s="23" t="str">
        <f>TEXT(tbl_sale[[#This Row],[Order Date]],"MMM")</f>
        <v>Oct</v>
      </c>
      <c r="F4" s="23" t="str">
        <f t="shared" si="0"/>
        <v>In Transit</v>
      </c>
      <c r="G4" s="2" t="s">
        <v>13</v>
      </c>
      <c r="H4" s="2" t="s">
        <v>24</v>
      </c>
      <c r="I4" s="2" t="s">
        <v>25</v>
      </c>
      <c r="J4" s="34">
        <v>194</v>
      </c>
      <c r="K4" s="3">
        <v>4</v>
      </c>
      <c r="L4" s="38">
        <v>776</v>
      </c>
      <c r="M4" s="2" t="s">
        <v>22</v>
      </c>
      <c r="N4" s="13" t="s">
        <v>26</v>
      </c>
      <c r="O4" s="27" t="str">
        <f>_xlfn.XLOOKUP(tbl_sale[[#This Row],[Customer ID]],CustomerMaster!A:A,CustomerMaster!B:B,"NA",0)</f>
        <v>Zoe Mitchell</v>
      </c>
      <c r="P4" s="27" t="str">
        <f>_xlfn.XLOOKUP(tbl_sale[[#This Row],[Product ID]],ProductMaster!$A$2:$A$23,ProductMaster!$B$2:$B$23,"NA",0)</f>
        <v>Vacuum Cleaner</v>
      </c>
      <c r="Q4" s="27" t="str">
        <f>_xlfn.XLOOKUP(tbl_sale[[#This Row],[Product ID]],ProductMaster!$A$2:$A$23,ProductMaster!$C$2:$C$23,"NA",0)</f>
        <v>Home</v>
      </c>
      <c r="R4" s="27" t="str">
        <f>IFERROR(IF(tbl_sale[[#This Row],[Delivery Date]]="","Pending",IF(tbl_sale[[#This Row],[Delivery Date]]-tbl_sale[[#This Row],[Order Date]]&lt;= 2,"Fast","Slow")),"Error")</f>
        <v>Pending</v>
      </c>
      <c r="S4" s="27">
        <f>_xlfn.XLOOKUP(tbl_sale[[#This Row],[Region]],RegionGoals!$A$2:$A$6,RegionGoals!$B$2:$B$6, ,0)</f>
        <v>91500</v>
      </c>
      <c r="T4" s="27" t="str">
        <f>_xlfn.XLOOKUP(tbl_sale[[#This Row],[Customer ID]],CustomerMaster!$A:$A,CustomerMaster!$C:$C,"NA",0)</f>
        <v>Individual</v>
      </c>
      <c r="U4" s="27">
        <f>IF(tbl_sale[[#This Row],[Delivery Status]]="Cancelled",1,0)</f>
        <v>0</v>
      </c>
      <c r="V4" s="27">
        <f>IF(tbl_sale[[#This Row],[Order ID]]&lt;&gt;"",1,0)</f>
        <v>1</v>
      </c>
      <c r="W4" s="27">
        <f>IF(AND(tbl_sale[[#This Row],[Delivery Status]]="Delivered",tbl_sale[[#This Row],[Delivery Performance]]="Fast"),1,0)</f>
        <v>0</v>
      </c>
      <c r="X4" s="27">
        <f>IF(tbl_sale[[#This Row],[Delivery Status]]="Delivered",1,0)</f>
        <v>0</v>
      </c>
    </row>
    <row r="5" spans="1:24" ht="18" customHeight="1" x14ac:dyDescent="0.3">
      <c r="A5" s="12" t="s">
        <v>27</v>
      </c>
      <c r="B5" s="23">
        <v>45051</v>
      </c>
      <c r="C5" s="23"/>
      <c r="D5" s="23">
        <v>45057</v>
      </c>
      <c r="E5" s="23" t="str">
        <f>TEXT(tbl_sale[[#This Row],[Order Date]],"MMM")</f>
        <v>May</v>
      </c>
      <c r="F5" s="23" t="str">
        <f t="shared" si="0"/>
        <v>Cancelled</v>
      </c>
      <c r="G5" s="2" t="s">
        <v>28</v>
      </c>
      <c r="H5" s="2" t="s">
        <v>24</v>
      </c>
      <c r="I5" s="2" t="s">
        <v>15</v>
      </c>
      <c r="J5" s="34">
        <v>196</v>
      </c>
      <c r="K5" s="3">
        <v>3</v>
      </c>
      <c r="L5" s="38">
        <v>588</v>
      </c>
      <c r="M5" s="2" t="s">
        <v>29</v>
      </c>
      <c r="N5" s="13" t="s">
        <v>30</v>
      </c>
      <c r="O5" s="27" t="str">
        <f>_xlfn.XLOOKUP(tbl_sale[[#This Row],[Customer ID]],CustomerMaster!A:A,CustomerMaster!B:B,"NA",0)</f>
        <v>Grace Ward</v>
      </c>
      <c r="P5" s="27" t="str">
        <f>_xlfn.XLOOKUP(tbl_sale[[#This Row],[Product ID]],ProductMaster!$A$2:$A$23,ProductMaster!$B$2:$B$23,"NA",0)</f>
        <v>Vacuum Cleaner</v>
      </c>
      <c r="Q5" s="27" t="str">
        <f>_xlfn.XLOOKUP(tbl_sale[[#This Row],[Product ID]],ProductMaster!$A$2:$A$23,ProductMaster!$C$2:$C$23,"NA",0)</f>
        <v>Home</v>
      </c>
      <c r="R5" s="27" t="str">
        <f>IFERROR(IF(tbl_sale[[#This Row],[Delivery Date]]="","Pending",IF(tbl_sale[[#This Row],[Delivery Date]]-tbl_sale[[#This Row],[Order Date]]&lt;= 2,"Fast","Slow")),"Error")</f>
        <v>Pending</v>
      </c>
      <c r="S5" s="27">
        <f>_xlfn.XLOOKUP(tbl_sale[[#This Row],[Region]],RegionGoals!$A$2:$A$6,RegionGoals!$B$2:$B$6, ,0)</f>
        <v>105000</v>
      </c>
      <c r="T5" s="27" t="str">
        <f>_xlfn.XLOOKUP(tbl_sale[[#This Row],[Customer ID]],CustomerMaster!$A:$A,CustomerMaster!$C:$C,"NA",0)</f>
        <v>Business</v>
      </c>
      <c r="U5" s="27">
        <f>IF(tbl_sale[[#This Row],[Delivery Status]]="Cancelled",1,0)</f>
        <v>1</v>
      </c>
      <c r="V5" s="27">
        <f>IF(tbl_sale[[#This Row],[Order ID]]&lt;&gt;"",1,0)</f>
        <v>1</v>
      </c>
      <c r="W5" s="27">
        <f>IF(AND(tbl_sale[[#This Row],[Delivery Status]]="Delivered",tbl_sale[[#This Row],[Delivery Performance]]="Fast"),1,0)</f>
        <v>0</v>
      </c>
      <c r="X5" s="27">
        <f>IF(tbl_sale[[#This Row],[Delivery Status]]="Delivered",1,0)</f>
        <v>0</v>
      </c>
    </row>
    <row r="6" spans="1:24" ht="18" customHeight="1" x14ac:dyDescent="0.3">
      <c r="A6" s="12" t="s">
        <v>31</v>
      </c>
      <c r="B6" s="23">
        <v>44959</v>
      </c>
      <c r="C6" s="23">
        <v>44962</v>
      </c>
      <c r="D6" s="23"/>
      <c r="E6" s="23" t="str">
        <f>TEXT(tbl_sale[[#This Row],[Order Date]],"MMM")</f>
        <v>Feb</v>
      </c>
      <c r="F6" s="23" t="str">
        <f t="shared" si="0"/>
        <v>Delivered</v>
      </c>
      <c r="G6" s="2" t="s">
        <v>32</v>
      </c>
      <c r="H6" s="2" t="s">
        <v>33</v>
      </c>
      <c r="I6" s="2" t="s">
        <v>15</v>
      </c>
      <c r="J6" s="34">
        <v>59</v>
      </c>
      <c r="K6" s="3">
        <v>1</v>
      </c>
      <c r="L6" s="38">
        <v>59</v>
      </c>
      <c r="M6" s="2" t="s">
        <v>29</v>
      </c>
      <c r="N6" s="13" t="s">
        <v>34</v>
      </c>
      <c r="O6" s="27" t="str">
        <f>_xlfn.XLOOKUP(tbl_sale[[#This Row],[Customer ID]],CustomerMaster!A:A,CustomerMaster!B:B,"NA",0)</f>
        <v>Hazel Brooks</v>
      </c>
      <c r="P6" s="27" t="str">
        <f>_xlfn.XLOOKUP(tbl_sale[[#This Row],[Product ID]],ProductMaster!$A$2:$A$23,ProductMaster!$B$2:$B$23,"NA",0)</f>
        <v>Jeans</v>
      </c>
      <c r="Q6" s="27" t="str">
        <f>_xlfn.XLOOKUP(tbl_sale[[#This Row],[Product ID]],ProductMaster!$A$2:$A$23,ProductMaster!$C$2:$C$23,"NA",0)</f>
        <v>Fashion</v>
      </c>
      <c r="R6" s="27" t="str">
        <f>IFERROR(IF(tbl_sale[[#This Row],[Delivery Date]]="","Pending",IF(tbl_sale[[#This Row],[Delivery Date]]-tbl_sale[[#This Row],[Order Date]]&lt;= 2,"Fast","Slow")),"Error")</f>
        <v>Slow</v>
      </c>
      <c r="S6" s="27">
        <f>_xlfn.XLOOKUP(tbl_sale[[#This Row],[Region]],RegionGoals!$A$2:$A$6,RegionGoals!$B$2:$B$6, ,0)</f>
        <v>105000</v>
      </c>
      <c r="T6" s="27" t="str">
        <f>_xlfn.XLOOKUP(tbl_sale[[#This Row],[Customer ID]],CustomerMaster!$A:$A,CustomerMaster!$C:$C,"NA",0)</f>
        <v>Individual</v>
      </c>
      <c r="U6" s="27">
        <f>IF(tbl_sale[[#This Row],[Delivery Status]]="Cancelled",1,0)</f>
        <v>0</v>
      </c>
      <c r="V6" s="27">
        <f>IF(tbl_sale[[#This Row],[Order ID]]&lt;&gt;"",1,0)</f>
        <v>1</v>
      </c>
      <c r="W6" s="27">
        <f>IF(AND(tbl_sale[[#This Row],[Delivery Status]]="Delivered",tbl_sale[[#This Row],[Delivery Performance]]="Fast"),1,0)</f>
        <v>0</v>
      </c>
      <c r="X6" s="27">
        <f>IF(tbl_sale[[#This Row],[Delivery Status]]="Delivered",1,0)</f>
        <v>1</v>
      </c>
    </row>
    <row r="7" spans="1:24" ht="18" customHeight="1" x14ac:dyDescent="0.3">
      <c r="A7" s="12" t="s">
        <v>35</v>
      </c>
      <c r="B7" s="23">
        <v>45231</v>
      </c>
      <c r="C7" s="23"/>
      <c r="D7" s="23">
        <v>45232</v>
      </c>
      <c r="E7" s="23" t="str">
        <f>TEXT(tbl_sale[[#This Row],[Order Date]],"MMM")</f>
        <v>Nov</v>
      </c>
      <c r="F7" s="23" t="str">
        <f t="shared" si="0"/>
        <v>Cancelled</v>
      </c>
      <c r="G7" s="2" t="s">
        <v>36</v>
      </c>
      <c r="H7" s="2" t="s">
        <v>33</v>
      </c>
      <c r="I7" s="2" t="s">
        <v>15</v>
      </c>
      <c r="J7" s="34">
        <v>58</v>
      </c>
      <c r="K7" s="3">
        <v>4</v>
      </c>
      <c r="L7" s="38">
        <v>232</v>
      </c>
      <c r="M7" s="2" t="s">
        <v>37</v>
      </c>
      <c r="N7" s="13" t="s">
        <v>17</v>
      </c>
      <c r="O7" s="27" t="str">
        <f>_xlfn.XLOOKUP(tbl_sale[[#This Row],[Customer ID]],CustomerMaster!A:A,CustomerMaster!B:B,"NA",0)</f>
        <v>Jackson Allen</v>
      </c>
      <c r="P7" s="27" t="str">
        <f>_xlfn.XLOOKUP(tbl_sale[[#This Row],[Product ID]],ProductMaster!$A$2:$A$23,ProductMaster!$B$2:$B$23,"NA",0)</f>
        <v>Jeans</v>
      </c>
      <c r="Q7" s="27" t="str">
        <f>_xlfn.XLOOKUP(tbl_sale[[#This Row],[Product ID]],ProductMaster!$A$2:$A$23,ProductMaster!$C$2:$C$23,"NA",0)</f>
        <v>Fashion</v>
      </c>
      <c r="R7" s="27" t="str">
        <f>IFERROR(IF(tbl_sale[[#This Row],[Delivery Date]]="","Pending",IF(tbl_sale[[#This Row],[Delivery Date]]-tbl_sale[[#This Row],[Order Date]]&lt;= 2,"Fast","Slow")),"Error")</f>
        <v>Pending</v>
      </c>
      <c r="S7" s="27">
        <f>_xlfn.XLOOKUP(tbl_sale[[#This Row],[Region]],RegionGoals!$A$2:$A$6,RegionGoals!$B$2:$B$6, ,0)</f>
        <v>105000</v>
      </c>
      <c r="T7" s="27" t="str">
        <f>_xlfn.XLOOKUP(tbl_sale[[#This Row],[Customer ID]],CustomerMaster!$A:$A,CustomerMaster!$C:$C,"NA",0)</f>
        <v>Business</v>
      </c>
      <c r="U7" s="27">
        <f>IF(tbl_sale[[#This Row],[Delivery Status]]="Cancelled",1,0)</f>
        <v>1</v>
      </c>
      <c r="V7" s="27">
        <f>IF(tbl_sale[[#This Row],[Order ID]]&lt;&gt;"",1,0)</f>
        <v>1</v>
      </c>
      <c r="W7" s="27">
        <f>IF(AND(tbl_sale[[#This Row],[Delivery Status]]="Delivered",tbl_sale[[#This Row],[Delivery Performance]]="Fast"),1,0)</f>
        <v>0</v>
      </c>
      <c r="X7" s="27">
        <f>IF(tbl_sale[[#This Row],[Delivery Status]]="Delivered",1,0)</f>
        <v>0</v>
      </c>
    </row>
    <row r="8" spans="1:24" ht="18" customHeight="1" x14ac:dyDescent="0.3">
      <c r="A8" s="12" t="s">
        <v>38</v>
      </c>
      <c r="B8" s="23">
        <v>45152</v>
      </c>
      <c r="C8" s="23"/>
      <c r="D8" s="23">
        <v>45156</v>
      </c>
      <c r="E8" s="23" t="str">
        <f>TEXT(tbl_sale[[#This Row],[Order Date]],"MMM")</f>
        <v>Aug</v>
      </c>
      <c r="F8" s="23" t="str">
        <f t="shared" si="0"/>
        <v>Cancelled</v>
      </c>
      <c r="G8" s="2" t="s">
        <v>39</v>
      </c>
      <c r="H8" s="2" t="s">
        <v>40</v>
      </c>
      <c r="I8" s="2" t="s">
        <v>41</v>
      </c>
      <c r="J8" s="34">
        <v>105</v>
      </c>
      <c r="K8" s="3">
        <v>3</v>
      </c>
      <c r="L8" s="38">
        <v>315</v>
      </c>
      <c r="M8" s="2" t="s">
        <v>42</v>
      </c>
      <c r="N8" s="13" t="s">
        <v>17</v>
      </c>
      <c r="O8" s="27" t="str">
        <f>_xlfn.XLOOKUP(tbl_sale[[#This Row],[Customer ID]],CustomerMaster!A:A,CustomerMaster!B:B,"NA",0)</f>
        <v>Noah Wilson</v>
      </c>
      <c r="P8" s="27" t="str">
        <f>_xlfn.XLOOKUP(tbl_sale[[#This Row],[Product ID]],ProductMaster!$A$2:$A$23,ProductMaster!$B$2:$B$23,"NA",0)</f>
        <v>Bluetooth Speaker</v>
      </c>
      <c r="Q8" s="27" t="str">
        <f>_xlfn.XLOOKUP(tbl_sale[[#This Row],[Product ID]],ProductMaster!$A$2:$A$23,ProductMaster!$C$2:$C$23,"NA",0)</f>
        <v>Electronics</v>
      </c>
      <c r="R8" s="27" t="str">
        <f>IFERROR(IF(tbl_sale[[#This Row],[Delivery Date]]="","Pending",IF(tbl_sale[[#This Row],[Delivery Date]]-tbl_sale[[#This Row],[Order Date]]&lt;= 2,"Fast","Slow")),"Error")</f>
        <v>Pending</v>
      </c>
      <c r="S8" s="27">
        <f>_xlfn.XLOOKUP(tbl_sale[[#This Row],[Region]],RegionGoals!$A$2:$A$6,RegionGoals!$B$2:$B$6, ,0)</f>
        <v>97500</v>
      </c>
      <c r="T8" s="27" t="str">
        <f>_xlfn.XLOOKUP(tbl_sale[[#This Row],[Customer ID]],CustomerMaster!$A:$A,CustomerMaster!$C:$C,"NA",0)</f>
        <v>Prime</v>
      </c>
      <c r="U8" s="27">
        <f>IF(tbl_sale[[#This Row],[Delivery Status]]="Cancelled",1,0)</f>
        <v>1</v>
      </c>
      <c r="V8" s="27">
        <f>IF(tbl_sale[[#This Row],[Order ID]]&lt;&gt;"",1,0)</f>
        <v>1</v>
      </c>
      <c r="W8" s="27">
        <f>IF(AND(tbl_sale[[#This Row],[Delivery Status]]="Delivered",tbl_sale[[#This Row],[Delivery Performance]]="Fast"),1,0)</f>
        <v>0</v>
      </c>
      <c r="X8" s="27">
        <f>IF(tbl_sale[[#This Row],[Delivery Status]]="Delivered",1,0)</f>
        <v>0</v>
      </c>
    </row>
    <row r="9" spans="1:24" ht="18" customHeight="1" x14ac:dyDescent="0.3">
      <c r="A9" s="12" t="s">
        <v>43</v>
      </c>
      <c r="B9" s="23">
        <v>45017</v>
      </c>
      <c r="C9" s="23"/>
      <c r="D9" s="23">
        <v>45022</v>
      </c>
      <c r="E9" s="23" t="str">
        <f>TEXT(tbl_sale[[#This Row],[Order Date]],"MMM")</f>
        <v>Apr</v>
      </c>
      <c r="F9" s="23" t="str">
        <f t="shared" si="0"/>
        <v>Cancelled</v>
      </c>
      <c r="G9" s="2" t="s">
        <v>44</v>
      </c>
      <c r="H9" s="2" t="s">
        <v>45</v>
      </c>
      <c r="I9" s="2" t="s">
        <v>46</v>
      </c>
      <c r="J9" s="34">
        <v>37</v>
      </c>
      <c r="K9" s="3">
        <v>5</v>
      </c>
      <c r="L9" s="38">
        <v>185</v>
      </c>
      <c r="M9" s="2" t="s">
        <v>29</v>
      </c>
      <c r="N9" s="13" t="s">
        <v>17</v>
      </c>
      <c r="O9" s="27" t="str">
        <f>_xlfn.XLOOKUP(tbl_sale[[#This Row],[Customer ID]],CustomerMaster!A:A,CustomerMaster!B:B,"NA",0)</f>
        <v>Ava Robinson</v>
      </c>
      <c r="P9" s="27" t="str">
        <f>_xlfn.XLOOKUP(tbl_sale[[#This Row],[Product ID]],ProductMaster!$A$2:$A$23,ProductMaster!$B$2:$B$23,"NA",0)</f>
        <v>Wall Clock</v>
      </c>
      <c r="Q9" s="27" t="str">
        <f>_xlfn.XLOOKUP(tbl_sale[[#This Row],[Product ID]],ProductMaster!$A$2:$A$23,ProductMaster!$C$2:$C$23,"NA",0)</f>
        <v>Home</v>
      </c>
      <c r="R9" s="27" t="str">
        <f>IFERROR(IF(tbl_sale[[#This Row],[Delivery Date]]="","Pending",IF(tbl_sale[[#This Row],[Delivery Date]]-tbl_sale[[#This Row],[Order Date]]&lt;= 2,"Fast","Slow")),"Error")</f>
        <v>Pending</v>
      </c>
      <c r="S9" s="27">
        <f>_xlfn.XLOOKUP(tbl_sale[[#This Row],[Region]],RegionGoals!$A$2:$A$6,RegionGoals!$B$2:$B$6, ,0)</f>
        <v>90750</v>
      </c>
      <c r="T9" s="27" t="str">
        <f>_xlfn.XLOOKUP(tbl_sale[[#This Row],[Customer ID]],CustomerMaster!$A:$A,CustomerMaster!$C:$C,"NA",0)</f>
        <v>Prime</v>
      </c>
      <c r="U9" s="27">
        <f>IF(tbl_sale[[#This Row],[Delivery Status]]="Cancelled",1,0)</f>
        <v>1</v>
      </c>
      <c r="V9" s="27">
        <f>IF(tbl_sale[[#This Row],[Order ID]]&lt;&gt;"",1,0)</f>
        <v>1</v>
      </c>
      <c r="W9" s="27">
        <f>IF(AND(tbl_sale[[#This Row],[Delivery Status]]="Delivered",tbl_sale[[#This Row],[Delivery Performance]]="Fast"),1,0)</f>
        <v>0</v>
      </c>
      <c r="X9" s="27">
        <f>IF(tbl_sale[[#This Row],[Delivery Status]]="Delivered",1,0)</f>
        <v>0</v>
      </c>
    </row>
    <row r="10" spans="1:24" ht="18" customHeight="1" x14ac:dyDescent="0.3">
      <c r="A10" s="12" t="s">
        <v>47</v>
      </c>
      <c r="B10" s="23">
        <v>45128</v>
      </c>
      <c r="C10" s="23"/>
      <c r="D10" s="23"/>
      <c r="E10" s="23" t="str">
        <f>TEXT(tbl_sale[[#This Row],[Order Date]],"MMM")</f>
        <v>Jul</v>
      </c>
      <c r="F10" s="23" t="str">
        <f t="shared" si="0"/>
        <v>In Transit</v>
      </c>
      <c r="G10" s="2" t="s">
        <v>48</v>
      </c>
      <c r="H10" s="2" t="s">
        <v>49</v>
      </c>
      <c r="I10" s="2" t="s">
        <v>41</v>
      </c>
      <c r="J10" s="34">
        <v>44</v>
      </c>
      <c r="K10" s="3">
        <v>2</v>
      </c>
      <c r="L10" s="38">
        <v>88</v>
      </c>
      <c r="M10" s="2" t="s">
        <v>22</v>
      </c>
      <c r="N10" s="13" t="s">
        <v>34</v>
      </c>
      <c r="O10" s="27" t="str">
        <f>_xlfn.XLOOKUP(tbl_sale[[#This Row],[Customer ID]],CustomerMaster!A:A,CustomerMaster!B:B,"NA",0)</f>
        <v>Olivia Martinez</v>
      </c>
      <c r="P10" s="27" t="str">
        <f>_xlfn.XLOOKUP(tbl_sale[[#This Row],[Product ID]],ProductMaster!$A$2:$A$23,ProductMaster!$B$2:$B$23,"NA",0)</f>
        <v>Formal Shirt</v>
      </c>
      <c r="Q10" s="27" t="str">
        <f>_xlfn.XLOOKUP(tbl_sale[[#This Row],[Product ID]],ProductMaster!$A$2:$A$23,ProductMaster!$C$2:$C$23,"NA",0)</f>
        <v>Fashion</v>
      </c>
      <c r="R10" s="27" t="str">
        <f>IFERROR(IF(tbl_sale[[#This Row],[Delivery Date]]="","Pending",IF(tbl_sale[[#This Row],[Delivery Date]]-tbl_sale[[#This Row],[Order Date]]&lt;= 2,"Fast","Slow")),"Error")</f>
        <v>Pending</v>
      </c>
      <c r="S10" s="27">
        <f>_xlfn.XLOOKUP(tbl_sale[[#This Row],[Region]],RegionGoals!$A$2:$A$6,RegionGoals!$B$2:$B$6, ,0)</f>
        <v>97500</v>
      </c>
      <c r="T10" s="27" t="str">
        <f>_xlfn.XLOOKUP(tbl_sale[[#This Row],[Customer ID]],CustomerMaster!$A:$A,CustomerMaster!$C:$C,"NA",0)</f>
        <v>Prime</v>
      </c>
      <c r="U10" s="27">
        <f>IF(tbl_sale[[#This Row],[Delivery Status]]="Cancelled",1,0)</f>
        <v>0</v>
      </c>
      <c r="V10" s="27">
        <f>IF(tbl_sale[[#This Row],[Order ID]]&lt;&gt;"",1,0)</f>
        <v>1</v>
      </c>
      <c r="W10" s="27">
        <f>IF(AND(tbl_sale[[#This Row],[Delivery Status]]="Delivered",tbl_sale[[#This Row],[Delivery Performance]]="Fast"),1,0)</f>
        <v>0</v>
      </c>
      <c r="X10" s="27">
        <f>IF(tbl_sale[[#This Row],[Delivery Status]]="Delivered",1,0)</f>
        <v>0</v>
      </c>
    </row>
    <row r="11" spans="1:24" ht="18" customHeight="1" x14ac:dyDescent="0.3">
      <c r="A11" s="12" t="s">
        <v>50</v>
      </c>
      <c r="B11" s="23">
        <v>45289</v>
      </c>
      <c r="C11" s="23"/>
      <c r="D11" s="23"/>
      <c r="E11" s="23" t="str">
        <f>TEXT(tbl_sale[[#This Row],[Order Date]],"MMM")</f>
        <v>Dec</v>
      </c>
      <c r="F11" s="23" t="str">
        <f t="shared" si="0"/>
        <v>In Transit</v>
      </c>
      <c r="G11" s="2" t="s">
        <v>44</v>
      </c>
      <c r="H11" s="2" t="s">
        <v>51</v>
      </c>
      <c r="I11" s="2" t="s">
        <v>25</v>
      </c>
      <c r="J11" s="34">
        <v>141</v>
      </c>
      <c r="K11" s="3">
        <v>4</v>
      </c>
      <c r="L11" s="38">
        <v>564</v>
      </c>
      <c r="M11" s="2" t="s">
        <v>42</v>
      </c>
      <c r="N11" s="13" t="s">
        <v>17</v>
      </c>
      <c r="O11" s="27" t="str">
        <f>_xlfn.XLOOKUP(tbl_sale[[#This Row],[Customer ID]],CustomerMaster!A:A,CustomerMaster!B:B,"NA",0)</f>
        <v>Ava Robinson</v>
      </c>
      <c r="P11" s="27" t="str">
        <f>_xlfn.XLOOKUP(tbl_sale[[#This Row],[Product ID]],ProductMaster!$A$2:$A$23,ProductMaster!$B$2:$B$23,"NA",0)</f>
        <v>Cookware Set</v>
      </c>
      <c r="Q11" s="27" t="str">
        <f>_xlfn.XLOOKUP(tbl_sale[[#This Row],[Product ID]],ProductMaster!$A$2:$A$23,ProductMaster!$C$2:$C$23,"NA",0)</f>
        <v>Home</v>
      </c>
      <c r="R11" s="27" t="str">
        <f>IFERROR(IF(tbl_sale[[#This Row],[Delivery Date]]="","Pending",IF(tbl_sale[[#This Row],[Delivery Date]]-tbl_sale[[#This Row],[Order Date]]&lt;= 2,"Fast","Slow")),"Error")</f>
        <v>Pending</v>
      </c>
      <c r="S11" s="27">
        <f>_xlfn.XLOOKUP(tbl_sale[[#This Row],[Region]],RegionGoals!$A$2:$A$6,RegionGoals!$B$2:$B$6, ,0)</f>
        <v>91500</v>
      </c>
      <c r="T11" s="27" t="str">
        <f>_xlfn.XLOOKUP(tbl_sale[[#This Row],[Customer ID]],CustomerMaster!$A:$A,CustomerMaster!$C:$C,"NA",0)</f>
        <v>Prime</v>
      </c>
      <c r="U11" s="27">
        <f>IF(tbl_sale[[#This Row],[Delivery Status]]="Cancelled",1,0)</f>
        <v>0</v>
      </c>
      <c r="V11" s="27">
        <f>IF(tbl_sale[[#This Row],[Order ID]]&lt;&gt;"",1,0)</f>
        <v>1</v>
      </c>
      <c r="W11" s="27">
        <f>IF(AND(tbl_sale[[#This Row],[Delivery Status]]="Delivered",tbl_sale[[#This Row],[Delivery Performance]]="Fast"),1,0)</f>
        <v>0</v>
      </c>
      <c r="X11" s="27">
        <f>IF(tbl_sale[[#This Row],[Delivery Status]]="Delivered",1,0)</f>
        <v>0</v>
      </c>
    </row>
    <row r="12" spans="1:24" ht="18" customHeight="1" x14ac:dyDescent="0.3">
      <c r="A12" s="12" t="s">
        <v>52</v>
      </c>
      <c r="B12" s="23">
        <v>45050</v>
      </c>
      <c r="C12" s="23"/>
      <c r="D12" s="23">
        <v>45054</v>
      </c>
      <c r="E12" s="23" t="str">
        <f>TEXT(tbl_sale[[#This Row],[Order Date]],"MMM")</f>
        <v>May</v>
      </c>
      <c r="F12" s="23" t="str">
        <f t="shared" si="0"/>
        <v>Cancelled</v>
      </c>
      <c r="G12" s="2" t="s">
        <v>53</v>
      </c>
      <c r="H12" s="2" t="s">
        <v>54</v>
      </c>
      <c r="I12" s="2" t="s">
        <v>25</v>
      </c>
      <c r="J12" s="34">
        <v>249</v>
      </c>
      <c r="K12" s="3">
        <v>1</v>
      </c>
      <c r="L12" s="38">
        <v>249</v>
      </c>
      <c r="M12" s="2" t="s">
        <v>37</v>
      </c>
      <c r="N12" s="13" t="s">
        <v>26</v>
      </c>
      <c r="O12" s="27" t="str">
        <f>_xlfn.XLOOKUP(tbl_sale[[#This Row],[Customer ID]],CustomerMaster!A:A,CustomerMaster!B:B,"NA",0)</f>
        <v>Emily Johnson</v>
      </c>
      <c r="P12" s="27" t="str">
        <f>_xlfn.XLOOKUP(tbl_sale[[#This Row],[Product ID]],ProductMaster!$A$2:$A$23,ProductMaster!$B$2:$B$23,"NA",0)</f>
        <v>Smartwatch</v>
      </c>
      <c r="Q12" s="27" t="str">
        <f>_xlfn.XLOOKUP(tbl_sale[[#This Row],[Product ID]],ProductMaster!$A$2:$A$23,ProductMaster!$C$2:$C$23,"NA",0)</f>
        <v>Electronics</v>
      </c>
      <c r="R12" s="27" t="str">
        <f>IFERROR(IF(tbl_sale[[#This Row],[Delivery Date]]="","Pending",IF(tbl_sale[[#This Row],[Delivery Date]]-tbl_sale[[#This Row],[Order Date]]&lt;= 2,"Fast","Slow")),"Error")</f>
        <v>Pending</v>
      </c>
      <c r="S12" s="27">
        <f>_xlfn.XLOOKUP(tbl_sale[[#This Row],[Region]],RegionGoals!$A$2:$A$6,RegionGoals!$B$2:$B$6, ,0)</f>
        <v>91500</v>
      </c>
      <c r="T12" s="27" t="str">
        <f>_xlfn.XLOOKUP(tbl_sale[[#This Row],[Customer ID]],CustomerMaster!$A:$A,CustomerMaster!$C:$C,"NA",0)</f>
        <v>Prime</v>
      </c>
      <c r="U12" s="27">
        <f>IF(tbl_sale[[#This Row],[Delivery Status]]="Cancelled",1,0)</f>
        <v>1</v>
      </c>
      <c r="V12" s="27">
        <f>IF(tbl_sale[[#This Row],[Order ID]]&lt;&gt;"",1,0)</f>
        <v>1</v>
      </c>
      <c r="W12" s="27">
        <f>IF(AND(tbl_sale[[#This Row],[Delivery Status]]="Delivered",tbl_sale[[#This Row],[Delivery Performance]]="Fast"),1,0)</f>
        <v>0</v>
      </c>
      <c r="X12" s="27">
        <f>IF(tbl_sale[[#This Row],[Delivery Status]]="Delivered",1,0)</f>
        <v>0</v>
      </c>
    </row>
    <row r="13" spans="1:24" ht="18" customHeight="1" x14ac:dyDescent="0.3">
      <c r="A13" s="12" t="s">
        <v>55</v>
      </c>
      <c r="B13" s="23">
        <v>45132</v>
      </c>
      <c r="C13" s="23"/>
      <c r="D13" s="23"/>
      <c r="E13" s="23" t="str">
        <f>TEXT(tbl_sale[[#This Row],[Order Date]],"MMM")</f>
        <v>Jul</v>
      </c>
      <c r="F13" s="23" t="str">
        <f t="shared" si="0"/>
        <v>In Transit</v>
      </c>
      <c r="G13" s="2" t="s">
        <v>56</v>
      </c>
      <c r="H13" s="2" t="s">
        <v>54</v>
      </c>
      <c r="I13" s="2" t="s">
        <v>41</v>
      </c>
      <c r="J13" s="34">
        <v>247</v>
      </c>
      <c r="K13" s="3">
        <v>3</v>
      </c>
      <c r="L13" s="38">
        <v>741</v>
      </c>
      <c r="M13" s="2" t="s">
        <v>37</v>
      </c>
      <c r="N13" s="13" t="s">
        <v>57</v>
      </c>
      <c r="O13" s="27" t="str">
        <f>_xlfn.XLOOKUP(tbl_sale[[#This Row],[Customer ID]],CustomerMaster!A:A,CustomerMaster!B:B,"NA",0)</f>
        <v>Emily Johnson</v>
      </c>
      <c r="P13" s="27" t="str">
        <f>_xlfn.XLOOKUP(tbl_sale[[#This Row],[Product ID]],ProductMaster!$A$2:$A$23,ProductMaster!$B$2:$B$23,"NA",0)</f>
        <v>Smartwatch</v>
      </c>
      <c r="Q13" s="27" t="str">
        <f>_xlfn.XLOOKUP(tbl_sale[[#This Row],[Product ID]],ProductMaster!$A$2:$A$23,ProductMaster!$C$2:$C$23,"NA",0)</f>
        <v>Electronics</v>
      </c>
      <c r="R13" s="27" t="str">
        <f>IFERROR(IF(tbl_sale[[#This Row],[Delivery Date]]="","Pending",IF(tbl_sale[[#This Row],[Delivery Date]]-tbl_sale[[#This Row],[Order Date]]&lt;= 2,"Fast","Slow")),"Error")</f>
        <v>Pending</v>
      </c>
      <c r="S13" s="27">
        <f>_xlfn.XLOOKUP(tbl_sale[[#This Row],[Region]],RegionGoals!$A$2:$A$6,RegionGoals!$B$2:$B$6, ,0)</f>
        <v>97500</v>
      </c>
      <c r="T13" s="27" t="str">
        <f>_xlfn.XLOOKUP(tbl_sale[[#This Row],[Customer ID]],CustomerMaster!$A:$A,CustomerMaster!$C:$C,"NA",0)</f>
        <v>Individual</v>
      </c>
      <c r="U13" s="27">
        <f>IF(tbl_sale[[#This Row],[Delivery Status]]="Cancelled",1,0)</f>
        <v>0</v>
      </c>
      <c r="V13" s="27">
        <f>IF(tbl_sale[[#This Row],[Order ID]]&lt;&gt;"",1,0)</f>
        <v>1</v>
      </c>
      <c r="W13" s="27">
        <f>IF(AND(tbl_sale[[#This Row],[Delivery Status]]="Delivered",tbl_sale[[#This Row],[Delivery Performance]]="Fast"),1,0)</f>
        <v>0</v>
      </c>
      <c r="X13" s="27">
        <f>IF(tbl_sale[[#This Row],[Delivery Status]]="Delivered",1,0)</f>
        <v>0</v>
      </c>
    </row>
    <row r="14" spans="1:24" ht="18" customHeight="1" x14ac:dyDescent="0.3">
      <c r="A14" s="12" t="s">
        <v>58</v>
      </c>
      <c r="B14" s="23">
        <v>44982</v>
      </c>
      <c r="C14" s="23"/>
      <c r="D14" s="23">
        <v>44985</v>
      </c>
      <c r="E14" s="23" t="str">
        <f>TEXT(tbl_sale[[#This Row],[Order Date]],"MMM")</f>
        <v>Feb</v>
      </c>
      <c r="F14" s="23" t="str">
        <f t="shared" si="0"/>
        <v>Cancelled</v>
      </c>
      <c r="G14" s="2" t="s">
        <v>59</v>
      </c>
      <c r="H14" s="2" t="s">
        <v>60</v>
      </c>
      <c r="I14" s="2" t="s">
        <v>41</v>
      </c>
      <c r="J14" s="34">
        <v>96</v>
      </c>
      <c r="K14" s="3">
        <v>1</v>
      </c>
      <c r="L14" s="38">
        <v>96</v>
      </c>
      <c r="M14" s="2" t="s">
        <v>16</v>
      </c>
      <c r="N14" s="13" t="s">
        <v>34</v>
      </c>
      <c r="O14" s="27" t="str">
        <f>_xlfn.XLOOKUP(tbl_sale[[#This Row],[Customer ID]],CustomerMaster!A:A,CustomerMaster!B:B,"NA",0)</f>
        <v>Charlotte Reed</v>
      </c>
      <c r="P14" s="27" t="str">
        <f>_xlfn.XLOOKUP(tbl_sale[[#This Row],[Product ID]],ProductMaster!$A$2:$A$23,ProductMaster!$B$2:$B$23,"NA",0)</f>
        <v>Shoes</v>
      </c>
      <c r="Q14" s="27" t="str">
        <f>_xlfn.XLOOKUP(tbl_sale[[#This Row],[Product ID]],ProductMaster!$A$2:$A$23,ProductMaster!$C$2:$C$23,"NA",0)</f>
        <v>Fashion</v>
      </c>
      <c r="R14" s="27" t="str">
        <f>IFERROR(IF(tbl_sale[[#This Row],[Delivery Date]]="","Pending",IF(tbl_sale[[#This Row],[Delivery Date]]-tbl_sale[[#This Row],[Order Date]]&lt;= 2,"Fast","Slow")),"Error")</f>
        <v>Pending</v>
      </c>
      <c r="S14" s="27">
        <f>_xlfn.XLOOKUP(tbl_sale[[#This Row],[Region]],RegionGoals!$A$2:$A$6,RegionGoals!$B$2:$B$6, ,0)</f>
        <v>97500</v>
      </c>
      <c r="T14" s="27" t="str">
        <f>_xlfn.XLOOKUP(tbl_sale[[#This Row],[Customer ID]],CustomerMaster!$A:$A,CustomerMaster!$C:$C,"NA",0)</f>
        <v>Individual</v>
      </c>
      <c r="U14" s="27">
        <f>IF(tbl_sale[[#This Row],[Delivery Status]]="Cancelled",1,0)</f>
        <v>1</v>
      </c>
      <c r="V14" s="27">
        <f>IF(tbl_sale[[#This Row],[Order ID]]&lt;&gt;"",1,0)</f>
        <v>1</v>
      </c>
      <c r="W14" s="27">
        <f>IF(AND(tbl_sale[[#This Row],[Delivery Status]]="Delivered",tbl_sale[[#This Row],[Delivery Performance]]="Fast"),1,0)</f>
        <v>0</v>
      </c>
      <c r="X14" s="27">
        <f>IF(tbl_sale[[#This Row],[Delivery Status]]="Delivered",1,0)</f>
        <v>0</v>
      </c>
    </row>
    <row r="15" spans="1:24" ht="18" customHeight="1" x14ac:dyDescent="0.3">
      <c r="A15" s="12" t="s">
        <v>61</v>
      </c>
      <c r="B15" s="23">
        <v>44981</v>
      </c>
      <c r="C15" s="23"/>
      <c r="D15" s="23">
        <v>44982</v>
      </c>
      <c r="E15" s="23" t="str">
        <f>TEXT(tbl_sale[[#This Row],[Order Date]],"MMM")</f>
        <v>Feb</v>
      </c>
      <c r="F15" s="23" t="str">
        <f t="shared" si="0"/>
        <v>Cancelled</v>
      </c>
      <c r="G15" s="2" t="s">
        <v>62</v>
      </c>
      <c r="H15" s="2" t="s">
        <v>63</v>
      </c>
      <c r="I15" s="2" t="s">
        <v>46</v>
      </c>
      <c r="J15" s="34">
        <v>74</v>
      </c>
      <c r="K15" s="3">
        <v>5</v>
      </c>
      <c r="L15" s="38">
        <v>370</v>
      </c>
      <c r="M15" s="2" t="s">
        <v>16</v>
      </c>
      <c r="N15" s="13" t="s">
        <v>34</v>
      </c>
      <c r="O15" s="27" t="str">
        <f>_xlfn.XLOOKUP(tbl_sale[[#This Row],[Customer ID]],CustomerMaster!A:A,CustomerMaster!B:B,"NA",0)</f>
        <v>Hazel Rivera</v>
      </c>
      <c r="P15" s="27" t="str">
        <f>_xlfn.XLOOKUP(tbl_sale[[#This Row],[Product ID]],ProductMaster!$A$2:$A$23,ProductMaster!$B$2:$B$23,"NA",0)</f>
        <v>Gaming Mouse</v>
      </c>
      <c r="Q15" s="27" t="str">
        <f>_xlfn.XLOOKUP(tbl_sale[[#This Row],[Product ID]],ProductMaster!$A$2:$A$23,ProductMaster!$C$2:$C$23,"NA",0)</f>
        <v>Electronics</v>
      </c>
      <c r="R15" s="27" t="str">
        <f>IFERROR(IF(tbl_sale[[#This Row],[Delivery Date]]="","Pending",IF(tbl_sale[[#This Row],[Delivery Date]]-tbl_sale[[#This Row],[Order Date]]&lt;= 2,"Fast","Slow")),"Error")</f>
        <v>Pending</v>
      </c>
      <c r="S15" s="27">
        <f>_xlfn.XLOOKUP(tbl_sale[[#This Row],[Region]],RegionGoals!$A$2:$A$6,RegionGoals!$B$2:$B$6, ,0)</f>
        <v>90750</v>
      </c>
      <c r="T15" s="27" t="str">
        <f>_xlfn.XLOOKUP(tbl_sale[[#This Row],[Customer ID]],CustomerMaster!$A:$A,CustomerMaster!$C:$C,"NA",0)</f>
        <v>Business</v>
      </c>
      <c r="U15" s="27">
        <f>IF(tbl_sale[[#This Row],[Delivery Status]]="Cancelled",1,0)</f>
        <v>1</v>
      </c>
      <c r="V15" s="27">
        <f>IF(tbl_sale[[#This Row],[Order ID]]&lt;&gt;"",1,0)</f>
        <v>1</v>
      </c>
      <c r="W15" s="27">
        <f>IF(AND(tbl_sale[[#This Row],[Delivery Status]]="Delivered",tbl_sale[[#This Row],[Delivery Performance]]="Fast"),1,0)</f>
        <v>0</v>
      </c>
      <c r="X15" s="27">
        <f>IF(tbl_sale[[#This Row],[Delivery Status]]="Delivered",1,0)</f>
        <v>0</v>
      </c>
    </row>
    <row r="16" spans="1:24" ht="18" customHeight="1" x14ac:dyDescent="0.3">
      <c r="A16" s="12" t="s">
        <v>64</v>
      </c>
      <c r="B16" s="23">
        <v>45164</v>
      </c>
      <c r="C16" s="23"/>
      <c r="D16" s="23">
        <v>45171</v>
      </c>
      <c r="E16" s="23" t="str">
        <f>TEXT(tbl_sale[[#This Row],[Order Date]],"MMM")</f>
        <v>Aug</v>
      </c>
      <c r="F16" s="23" t="str">
        <f t="shared" si="0"/>
        <v>Cancelled</v>
      </c>
      <c r="G16" s="2" t="s">
        <v>62</v>
      </c>
      <c r="H16" s="2" t="s">
        <v>65</v>
      </c>
      <c r="I16" s="2" t="s">
        <v>25</v>
      </c>
      <c r="J16" s="34">
        <v>27</v>
      </c>
      <c r="K16" s="3">
        <v>1</v>
      </c>
      <c r="L16" s="38">
        <v>27</v>
      </c>
      <c r="M16" s="2" t="s">
        <v>22</v>
      </c>
      <c r="N16" s="13" t="s">
        <v>34</v>
      </c>
      <c r="O16" s="27" t="str">
        <f>_xlfn.XLOOKUP(tbl_sale[[#This Row],[Customer ID]],CustomerMaster!A:A,CustomerMaster!B:B,"NA",0)</f>
        <v>Hazel Rivera</v>
      </c>
      <c r="P16" s="27" t="str">
        <f>_xlfn.XLOOKUP(tbl_sale[[#This Row],[Product ID]],ProductMaster!$A$2:$A$23,ProductMaster!$B$2:$B$23,"NA",0)</f>
        <v>T-Shirt</v>
      </c>
      <c r="Q16" s="27" t="str">
        <f>_xlfn.XLOOKUP(tbl_sale[[#This Row],[Product ID]],ProductMaster!$A$2:$A$23,ProductMaster!$C$2:$C$23,"NA",0)</f>
        <v>Fashion</v>
      </c>
      <c r="R16" s="27" t="str">
        <f>IFERROR(IF(tbl_sale[[#This Row],[Delivery Date]]="","Pending",IF(tbl_sale[[#This Row],[Delivery Date]]-tbl_sale[[#This Row],[Order Date]]&lt;= 2,"Fast","Slow")),"Error")</f>
        <v>Pending</v>
      </c>
      <c r="S16" s="27">
        <f>_xlfn.XLOOKUP(tbl_sale[[#This Row],[Region]],RegionGoals!$A$2:$A$6,RegionGoals!$B$2:$B$6, ,0)</f>
        <v>91500</v>
      </c>
      <c r="T16" s="27" t="str">
        <f>_xlfn.XLOOKUP(tbl_sale[[#This Row],[Customer ID]],CustomerMaster!$A:$A,CustomerMaster!$C:$C,"NA",0)</f>
        <v>Business</v>
      </c>
      <c r="U16" s="27">
        <f>IF(tbl_sale[[#This Row],[Delivery Status]]="Cancelled",1,0)</f>
        <v>1</v>
      </c>
      <c r="V16" s="27">
        <f>IF(tbl_sale[[#This Row],[Order ID]]&lt;&gt;"",1,0)</f>
        <v>1</v>
      </c>
      <c r="W16" s="27">
        <f>IF(AND(tbl_sale[[#This Row],[Delivery Status]]="Delivered",tbl_sale[[#This Row],[Delivery Performance]]="Fast"),1,0)</f>
        <v>0</v>
      </c>
      <c r="X16" s="27">
        <f>IF(tbl_sale[[#This Row],[Delivery Status]]="Delivered",1,0)</f>
        <v>0</v>
      </c>
    </row>
    <row r="17" spans="1:24" ht="18" customHeight="1" x14ac:dyDescent="0.3">
      <c r="A17" s="12" t="s">
        <v>66</v>
      </c>
      <c r="B17" s="23">
        <v>44970</v>
      </c>
      <c r="C17" s="23"/>
      <c r="D17" s="23"/>
      <c r="E17" s="23" t="str">
        <f>TEXT(tbl_sale[[#This Row],[Order Date]],"MMM")</f>
        <v>Feb</v>
      </c>
      <c r="F17" s="23" t="str">
        <f t="shared" si="0"/>
        <v>In Transit</v>
      </c>
      <c r="G17" s="2" t="s">
        <v>67</v>
      </c>
      <c r="H17" s="2" t="s">
        <v>65</v>
      </c>
      <c r="I17" s="2" t="s">
        <v>25</v>
      </c>
      <c r="J17" s="34">
        <v>27</v>
      </c>
      <c r="K17" s="3">
        <v>3</v>
      </c>
      <c r="L17" s="38">
        <v>81</v>
      </c>
      <c r="M17" s="2" t="s">
        <v>42</v>
      </c>
      <c r="N17" s="13" t="s">
        <v>34</v>
      </c>
      <c r="O17" s="27" t="str">
        <f>_xlfn.XLOOKUP(tbl_sale[[#This Row],[Customer ID]],CustomerMaster!A:A,CustomerMaster!B:B,"NA",0)</f>
        <v>Scarlett Murphy</v>
      </c>
      <c r="P17" s="27" t="str">
        <f>_xlfn.XLOOKUP(tbl_sale[[#This Row],[Product ID]],ProductMaster!$A$2:$A$23,ProductMaster!$B$2:$B$23,"NA",0)</f>
        <v>T-Shirt</v>
      </c>
      <c r="Q17" s="27" t="str">
        <f>_xlfn.XLOOKUP(tbl_sale[[#This Row],[Product ID]],ProductMaster!$A$2:$A$23,ProductMaster!$C$2:$C$23,"NA",0)</f>
        <v>Fashion</v>
      </c>
      <c r="R17" s="27" t="str">
        <f>IFERROR(IF(tbl_sale[[#This Row],[Delivery Date]]="","Pending",IF(tbl_sale[[#This Row],[Delivery Date]]-tbl_sale[[#This Row],[Order Date]]&lt;= 2,"Fast","Slow")),"Error")</f>
        <v>Pending</v>
      </c>
      <c r="S17" s="27">
        <f>_xlfn.XLOOKUP(tbl_sale[[#This Row],[Region]],RegionGoals!$A$2:$A$6,RegionGoals!$B$2:$B$6, ,0)</f>
        <v>91500</v>
      </c>
      <c r="T17" s="27" t="str">
        <f>_xlfn.XLOOKUP(tbl_sale[[#This Row],[Customer ID]],CustomerMaster!$A:$A,CustomerMaster!$C:$C,"NA",0)</f>
        <v>Individual</v>
      </c>
      <c r="U17" s="27">
        <f>IF(tbl_sale[[#This Row],[Delivery Status]]="Cancelled",1,0)</f>
        <v>0</v>
      </c>
      <c r="V17" s="27">
        <f>IF(tbl_sale[[#This Row],[Order ID]]&lt;&gt;"",1,0)</f>
        <v>1</v>
      </c>
      <c r="W17" s="27">
        <f>IF(AND(tbl_sale[[#This Row],[Delivery Status]]="Delivered",tbl_sale[[#This Row],[Delivery Performance]]="Fast"),1,0)</f>
        <v>0</v>
      </c>
      <c r="X17" s="27">
        <f>IF(tbl_sale[[#This Row],[Delivery Status]]="Delivered",1,0)</f>
        <v>0</v>
      </c>
    </row>
    <row r="18" spans="1:24" ht="18" customHeight="1" x14ac:dyDescent="0.3">
      <c r="A18" s="12" t="s">
        <v>68</v>
      </c>
      <c r="B18" s="23">
        <v>45105</v>
      </c>
      <c r="C18" s="23">
        <v>45108</v>
      </c>
      <c r="D18" s="23"/>
      <c r="E18" s="23" t="str">
        <f>TEXT(tbl_sale[[#This Row],[Order Date]],"MMM")</f>
        <v>Jun</v>
      </c>
      <c r="F18" s="23" t="str">
        <f t="shared" si="0"/>
        <v>Delivered</v>
      </c>
      <c r="G18" s="2" t="s">
        <v>56</v>
      </c>
      <c r="H18" s="2" t="s">
        <v>69</v>
      </c>
      <c r="I18" s="2" t="s">
        <v>21</v>
      </c>
      <c r="J18" s="34">
        <v>21</v>
      </c>
      <c r="K18" s="3">
        <v>3</v>
      </c>
      <c r="L18" s="38">
        <v>63</v>
      </c>
      <c r="M18" s="2" t="s">
        <v>22</v>
      </c>
      <c r="N18" s="13" t="s">
        <v>17</v>
      </c>
      <c r="O18" s="27" t="str">
        <f>_xlfn.XLOOKUP(tbl_sale[[#This Row],[Customer ID]],CustomerMaster!A:A,CustomerMaster!B:B,"NA",0)</f>
        <v>Emily Johnson</v>
      </c>
      <c r="P18" s="27" t="str">
        <f>_xlfn.XLOOKUP(tbl_sale[[#This Row],[Product ID]],ProductMaster!$A$2:$A$23,ProductMaster!$B$2:$B$23,"NA",0)</f>
        <v>Novel</v>
      </c>
      <c r="Q18" s="27" t="str">
        <f>_xlfn.XLOOKUP(tbl_sale[[#This Row],[Product ID]],ProductMaster!$A$2:$A$23,ProductMaster!$C$2:$C$23,"NA",0)</f>
        <v>Books</v>
      </c>
      <c r="R18" s="27" t="str">
        <f>IFERROR(IF(tbl_sale[[#This Row],[Delivery Date]]="","Pending",IF(tbl_sale[[#This Row],[Delivery Date]]-tbl_sale[[#This Row],[Order Date]]&lt;= 2,"Fast","Slow")),"Error")</f>
        <v>Slow</v>
      </c>
      <c r="S18" s="27">
        <f>_xlfn.XLOOKUP(tbl_sale[[#This Row],[Region]],RegionGoals!$A$2:$A$6,RegionGoals!$B$2:$B$6, ,0)</f>
        <v>50500</v>
      </c>
      <c r="T18" s="27" t="str">
        <f>_xlfn.XLOOKUP(tbl_sale[[#This Row],[Customer ID]],CustomerMaster!$A:$A,CustomerMaster!$C:$C,"NA",0)</f>
        <v>Individual</v>
      </c>
      <c r="U18" s="27">
        <f>IF(tbl_sale[[#This Row],[Delivery Status]]="Cancelled",1,0)</f>
        <v>0</v>
      </c>
      <c r="V18" s="27">
        <f>IF(tbl_sale[[#This Row],[Order ID]]&lt;&gt;"",1,0)</f>
        <v>1</v>
      </c>
      <c r="W18" s="27">
        <f>IF(AND(tbl_sale[[#This Row],[Delivery Status]]="Delivered",tbl_sale[[#This Row],[Delivery Performance]]="Fast"),1,0)</f>
        <v>0</v>
      </c>
      <c r="X18" s="27">
        <f>IF(tbl_sale[[#This Row],[Delivery Status]]="Delivered",1,0)</f>
        <v>1</v>
      </c>
    </row>
    <row r="19" spans="1:24" ht="18" customHeight="1" x14ac:dyDescent="0.3">
      <c r="A19" s="12" t="s">
        <v>70</v>
      </c>
      <c r="B19" s="23">
        <v>45258</v>
      </c>
      <c r="C19" s="23"/>
      <c r="D19" s="23"/>
      <c r="E19" s="23" t="str">
        <f>TEXT(tbl_sale[[#This Row],[Order Date]],"MMM")</f>
        <v>Nov</v>
      </c>
      <c r="F19" s="23" t="str">
        <f t="shared" si="0"/>
        <v>In Transit</v>
      </c>
      <c r="G19" s="2" t="s">
        <v>71</v>
      </c>
      <c r="H19" s="2" t="s">
        <v>72</v>
      </c>
      <c r="I19" s="2" t="s">
        <v>46</v>
      </c>
      <c r="J19" s="34">
        <v>70</v>
      </c>
      <c r="K19" s="3">
        <v>5</v>
      </c>
      <c r="L19" s="38">
        <v>350</v>
      </c>
      <c r="M19" s="2" t="s">
        <v>29</v>
      </c>
      <c r="N19" s="13" t="s">
        <v>34</v>
      </c>
      <c r="O19" s="27" t="str">
        <f>_xlfn.XLOOKUP(tbl_sale[[#This Row],[Customer ID]],CustomerMaster!A:A,CustomerMaster!B:B,"NA",0)</f>
        <v>Mason Hall</v>
      </c>
      <c r="P19" s="27" t="str">
        <f>_xlfn.XLOOKUP(tbl_sale[[#This Row],[Product ID]],ProductMaster!$A$2:$A$23,ProductMaster!$B$2:$B$23,"NA",0)</f>
        <v>Textbook</v>
      </c>
      <c r="Q19" s="27" t="str">
        <f>_xlfn.XLOOKUP(tbl_sale[[#This Row],[Product ID]],ProductMaster!$A$2:$A$23,ProductMaster!$C$2:$C$23,"NA",0)</f>
        <v>Books</v>
      </c>
      <c r="R19" s="27" t="str">
        <f>IFERROR(IF(tbl_sale[[#This Row],[Delivery Date]]="","Pending",IF(tbl_sale[[#This Row],[Delivery Date]]-tbl_sale[[#This Row],[Order Date]]&lt;= 2,"Fast","Slow")),"Error")</f>
        <v>Pending</v>
      </c>
      <c r="S19" s="27">
        <f>_xlfn.XLOOKUP(tbl_sale[[#This Row],[Region]],RegionGoals!$A$2:$A$6,RegionGoals!$B$2:$B$6, ,0)</f>
        <v>90750</v>
      </c>
      <c r="T19" s="27" t="str">
        <f>_xlfn.XLOOKUP(tbl_sale[[#This Row],[Customer ID]],CustomerMaster!$A:$A,CustomerMaster!$C:$C,"NA",0)</f>
        <v>Business</v>
      </c>
      <c r="U19" s="27">
        <f>IF(tbl_sale[[#This Row],[Delivery Status]]="Cancelled",1,0)</f>
        <v>0</v>
      </c>
      <c r="V19" s="27">
        <f>IF(tbl_sale[[#This Row],[Order ID]]&lt;&gt;"",1,0)</f>
        <v>1</v>
      </c>
      <c r="W19" s="27">
        <f>IF(AND(tbl_sale[[#This Row],[Delivery Status]]="Delivered",tbl_sale[[#This Row],[Delivery Performance]]="Fast"),1,0)</f>
        <v>0</v>
      </c>
      <c r="X19" s="27">
        <f>IF(tbl_sale[[#This Row],[Delivery Status]]="Delivered",1,0)</f>
        <v>0</v>
      </c>
    </row>
    <row r="20" spans="1:24" ht="18" customHeight="1" x14ac:dyDescent="0.3">
      <c r="A20" s="12" t="s">
        <v>73</v>
      </c>
      <c r="B20" s="23">
        <v>45163</v>
      </c>
      <c r="C20" s="23"/>
      <c r="D20" s="23"/>
      <c r="E20" s="23" t="str">
        <f>TEXT(tbl_sale[[#This Row],[Order Date]],"MMM")</f>
        <v>Aug</v>
      </c>
      <c r="F20" s="23" t="str">
        <f t="shared" si="0"/>
        <v>In Transit</v>
      </c>
      <c r="G20" s="2" t="s">
        <v>74</v>
      </c>
      <c r="H20" s="2" t="s">
        <v>60</v>
      </c>
      <c r="I20" s="2" t="s">
        <v>25</v>
      </c>
      <c r="J20" s="34">
        <v>94</v>
      </c>
      <c r="K20" s="3">
        <v>4</v>
      </c>
      <c r="L20" s="38">
        <v>376</v>
      </c>
      <c r="M20" s="2" t="s">
        <v>22</v>
      </c>
      <c r="N20" s="13" t="s">
        <v>26</v>
      </c>
      <c r="O20" s="27" t="str">
        <f>_xlfn.XLOOKUP(tbl_sale[[#This Row],[Customer ID]],CustomerMaster!A:A,CustomerMaster!B:B,"NA",0)</f>
        <v>Jacob Price</v>
      </c>
      <c r="P20" s="27" t="str">
        <f>_xlfn.XLOOKUP(tbl_sale[[#This Row],[Product ID]],ProductMaster!$A$2:$A$23,ProductMaster!$B$2:$B$23,"NA",0)</f>
        <v>Shoes</v>
      </c>
      <c r="Q20" s="27" t="str">
        <f>_xlfn.XLOOKUP(tbl_sale[[#This Row],[Product ID]],ProductMaster!$A$2:$A$23,ProductMaster!$C$2:$C$23,"NA",0)</f>
        <v>Fashion</v>
      </c>
      <c r="R20" s="27" t="str">
        <f>IFERROR(IF(tbl_sale[[#This Row],[Delivery Date]]="","Pending",IF(tbl_sale[[#This Row],[Delivery Date]]-tbl_sale[[#This Row],[Order Date]]&lt;= 2,"Fast","Slow")),"Error")</f>
        <v>Pending</v>
      </c>
      <c r="S20" s="27">
        <f>_xlfn.XLOOKUP(tbl_sale[[#This Row],[Region]],RegionGoals!$A$2:$A$6,RegionGoals!$B$2:$B$6, ,0)</f>
        <v>91500</v>
      </c>
      <c r="T20" s="27" t="str">
        <f>_xlfn.XLOOKUP(tbl_sale[[#This Row],[Customer ID]],CustomerMaster!$A:$A,CustomerMaster!$C:$C,"NA",0)</f>
        <v>Business</v>
      </c>
      <c r="U20" s="27">
        <f>IF(tbl_sale[[#This Row],[Delivery Status]]="Cancelled",1,0)</f>
        <v>0</v>
      </c>
      <c r="V20" s="27">
        <f>IF(tbl_sale[[#This Row],[Order ID]]&lt;&gt;"",1,0)</f>
        <v>1</v>
      </c>
      <c r="W20" s="27">
        <f>IF(AND(tbl_sale[[#This Row],[Delivery Status]]="Delivered",tbl_sale[[#This Row],[Delivery Performance]]="Fast"),1,0)</f>
        <v>0</v>
      </c>
      <c r="X20" s="27">
        <f>IF(tbl_sale[[#This Row],[Delivery Status]]="Delivered",1,0)</f>
        <v>0</v>
      </c>
    </row>
    <row r="21" spans="1:24" ht="18" customHeight="1" x14ac:dyDescent="0.3">
      <c r="A21" s="12" t="s">
        <v>75</v>
      </c>
      <c r="B21" s="23">
        <v>45028</v>
      </c>
      <c r="C21" s="23"/>
      <c r="D21" s="23"/>
      <c r="E21" s="23" t="str">
        <f>TEXT(tbl_sale[[#This Row],[Order Date]],"MMM")</f>
        <v>Apr</v>
      </c>
      <c r="F21" s="23" t="str">
        <f t="shared" si="0"/>
        <v>In Transit</v>
      </c>
      <c r="G21" s="2" t="s">
        <v>76</v>
      </c>
      <c r="H21" s="2" t="s">
        <v>77</v>
      </c>
      <c r="I21" s="2" t="s">
        <v>15</v>
      </c>
      <c r="J21" s="34">
        <v>813</v>
      </c>
      <c r="K21" s="3">
        <v>2</v>
      </c>
      <c r="L21" s="38">
        <v>1626</v>
      </c>
      <c r="M21" s="2" t="s">
        <v>22</v>
      </c>
      <c r="N21" s="13" t="s">
        <v>57</v>
      </c>
      <c r="O21" s="27" t="str">
        <f>_xlfn.XLOOKUP(tbl_sale[[#This Row],[Customer ID]],CustomerMaster!A:A,CustomerMaster!B:B,"NA",0)</f>
        <v>Emma King</v>
      </c>
      <c r="P21" s="27" t="str">
        <f>_xlfn.XLOOKUP(tbl_sale[[#This Row],[Product ID]],ProductMaster!$A$2:$A$23,ProductMaster!$B$2:$B$23,"NA",0)</f>
        <v>Smartphone</v>
      </c>
      <c r="Q21" s="27" t="str">
        <f>_xlfn.XLOOKUP(tbl_sale[[#This Row],[Product ID]],ProductMaster!$A$2:$A$23,ProductMaster!$C$2:$C$23,"NA",0)</f>
        <v>Electronics</v>
      </c>
      <c r="R21" s="27" t="str">
        <f>IFERROR(IF(tbl_sale[[#This Row],[Delivery Date]]="","Pending",IF(tbl_sale[[#This Row],[Delivery Date]]-tbl_sale[[#This Row],[Order Date]]&lt;= 2,"Fast","Slow")),"Error")</f>
        <v>Pending</v>
      </c>
      <c r="S21" s="27">
        <f>_xlfn.XLOOKUP(tbl_sale[[#This Row],[Region]],RegionGoals!$A$2:$A$6,RegionGoals!$B$2:$B$6, ,0)</f>
        <v>105000</v>
      </c>
      <c r="T21" s="27" t="str">
        <f>_xlfn.XLOOKUP(tbl_sale[[#This Row],[Customer ID]],CustomerMaster!$A:$A,CustomerMaster!$C:$C,"NA",0)</f>
        <v>Individual</v>
      </c>
      <c r="U21" s="27">
        <f>IF(tbl_sale[[#This Row],[Delivery Status]]="Cancelled",1,0)</f>
        <v>0</v>
      </c>
      <c r="V21" s="27">
        <f>IF(tbl_sale[[#This Row],[Order ID]]&lt;&gt;"",1,0)</f>
        <v>1</v>
      </c>
      <c r="W21" s="27">
        <f>IF(AND(tbl_sale[[#This Row],[Delivery Status]]="Delivered",tbl_sale[[#This Row],[Delivery Performance]]="Fast"),1,0)</f>
        <v>0</v>
      </c>
      <c r="X21" s="27">
        <f>IF(tbl_sale[[#This Row],[Delivery Status]]="Delivered",1,0)</f>
        <v>0</v>
      </c>
    </row>
    <row r="22" spans="1:24" ht="18" customHeight="1" x14ac:dyDescent="0.3">
      <c r="A22" s="12" t="s">
        <v>78</v>
      </c>
      <c r="B22" s="23">
        <v>45201</v>
      </c>
      <c r="C22" s="23"/>
      <c r="D22" s="23"/>
      <c r="E22" s="23" t="str">
        <f>TEXT(tbl_sale[[#This Row],[Order Date]],"MMM")</f>
        <v>Oct</v>
      </c>
      <c r="F22" s="23" t="str">
        <f t="shared" si="0"/>
        <v>In Transit</v>
      </c>
      <c r="G22" s="2" t="s">
        <v>48</v>
      </c>
      <c r="H22" s="2" t="s">
        <v>69</v>
      </c>
      <c r="I22" s="2" t="s">
        <v>41</v>
      </c>
      <c r="J22" s="34">
        <v>21</v>
      </c>
      <c r="K22" s="3">
        <v>4</v>
      </c>
      <c r="L22" s="38">
        <v>84</v>
      </c>
      <c r="M22" s="2" t="s">
        <v>29</v>
      </c>
      <c r="N22" s="13" t="s">
        <v>34</v>
      </c>
      <c r="O22" s="27" t="str">
        <f>_xlfn.XLOOKUP(tbl_sale[[#This Row],[Customer ID]],CustomerMaster!A:A,CustomerMaster!B:B,"NA",0)</f>
        <v>Olivia Martinez</v>
      </c>
      <c r="P22" s="27" t="str">
        <f>_xlfn.XLOOKUP(tbl_sale[[#This Row],[Product ID]],ProductMaster!$A$2:$A$23,ProductMaster!$B$2:$B$23,"NA",0)</f>
        <v>Novel</v>
      </c>
      <c r="Q22" s="27" t="str">
        <f>_xlfn.XLOOKUP(tbl_sale[[#This Row],[Product ID]],ProductMaster!$A$2:$A$23,ProductMaster!$C$2:$C$23,"NA",0)</f>
        <v>Books</v>
      </c>
      <c r="R22" s="27" t="str">
        <f>IFERROR(IF(tbl_sale[[#This Row],[Delivery Date]]="","Pending",IF(tbl_sale[[#This Row],[Delivery Date]]-tbl_sale[[#This Row],[Order Date]]&lt;= 2,"Fast","Slow")),"Error")</f>
        <v>Pending</v>
      </c>
      <c r="S22" s="27">
        <f>_xlfn.XLOOKUP(tbl_sale[[#This Row],[Region]],RegionGoals!$A$2:$A$6,RegionGoals!$B$2:$B$6, ,0)</f>
        <v>97500</v>
      </c>
      <c r="T22" s="27" t="str">
        <f>_xlfn.XLOOKUP(tbl_sale[[#This Row],[Customer ID]],CustomerMaster!$A:$A,CustomerMaster!$C:$C,"NA",0)</f>
        <v>Prime</v>
      </c>
      <c r="U22" s="27">
        <f>IF(tbl_sale[[#This Row],[Delivery Status]]="Cancelled",1,0)</f>
        <v>0</v>
      </c>
      <c r="V22" s="27">
        <f>IF(tbl_sale[[#This Row],[Order ID]]&lt;&gt;"",1,0)</f>
        <v>1</v>
      </c>
      <c r="W22" s="27">
        <f>IF(AND(tbl_sale[[#This Row],[Delivery Status]]="Delivered",tbl_sale[[#This Row],[Delivery Performance]]="Fast"),1,0)</f>
        <v>0</v>
      </c>
      <c r="X22" s="27">
        <f>IF(tbl_sale[[#This Row],[Delivery Status]]="Delivered",1,0)</f>
        <v>0</v>
      </c>
    </row>
    <row r="23" spans="1:24" ht="18" customHeight="1" x14ac:dyDescent="0.3">
      <c r="A23" s="12" t="s">
        <v>79</v>
      </c>
      <c r="B23" s="23">
        <v>45239</v>
      </c>
      <c r="C23" s="23"/>
      <c r="D23" s="23"/>
      <c r="E23" s="23" t="str">
        <f>TEXT(tbl_sale[[#This Row],[Order Date]],"MMM")</f>
        <v>Nov</v>
      </c>
      <c r="F23" s="23" t="str">
        <f t="shared" si="0"/>
        <v>In Transit</v>
      </c>
      <c r="G23" s="2" t="s">
        <v>59</v>
      </c>
      <c r="H23" s="2" t="s">
        <v>14</v>
      </c>
      <c r="I23" s="2" t="s">
        <v>46</v>
      </c>
      <c r="J23" s="34">
        <v>46</v>
      </c>
      <c r="K23" s="3">
        <v>5</v>
      </c>
      <c r="L23" s="38">
        <v>230</v>
      </c>
      <c r="M23" s="2" t="s">
        <v>29</v>
      </c>
      <c r="N23" s="13" t="s">
        <v>26</v>
      </c>
      <c r="O23" s="27" t="str">
        <f>_xlfn.XLOOKUP(tbl_sale[[#This Row],[Customer ID]],CustomerMaster!A:A,CustomerMaster!B:B,"NA",0)</f>
        <v>Charlotte Reed</v>
      </c>
      <c r="P23" s="27" t="str">
        <f>_xlfn.XLOOKUP(tbl_sale[[#This Row],[Product ID]],ProductMaster!$A$2:$A$23,ProductMaster!$B$2:$B$23,"NA",0)</f>
        <v>Lamp</v>
      </c>
      <c r="Q23" s="27" t="str">
        <f>_xlfn.XLOOKUP(tbl_sale[[#This Row],[Product ID]],ProductMaster!$A$2:$A$23,ProductMaster!$C$2:$C$23,"NA",0)</f>
        <v>Home</v>
      </c>
      <c r="R23" s="27" t="str">
        <f>IFERROR(IF(tbl_sale[[#This Row],[Delivery Date]]="","Pending",IF(tbl_sale[[#This Row],[Delivery Date]]-tbl_sale[[#This Row],[Order Date]]&lt;= 2,"Fast","Slow")),"Error")</f>
        <v>Pending</v>
      </c>
      <c r="S23" s="27">
        <f>_xlfn.XLOOKUP(tbl_sale[[#This Row],[Region]],RegionGoals!$A$2:$A$6,RegionGoals!$B$2:$B$6, ,0)</f>
        <v>90750</v>
      </c>
      <c r="T23" s="27" t="str">
        <f>_xlfn.XLOOKUP(tbl_sale[[#This Row],[Customer ID]],CustomerMaster!$A:$A,CustomerMaster!$C:$C,"NA",0)</f>
        <v>Individual</v>
      </c>
      <c r="U23" s="27">
        <f>IF(tbl_sale[[#This Row],[Delivery Status]]="Cancelled",1,0)</f>
        <v>0</v>
      </c>
      <c r="V23" s="27">
        <f>IF(tbl_sale[[#This Row],[Order ID]]&lt;&gt;"",1,0)</f>
        <v>1</v>
      </c>
      <c r="W23" s="27">
        <f>IF(AND(tbl_sale[[#This Row],[Delivery Status]]="Delivered",tbl_sale[[#This Row],[Delivery Performance]]="Fast"),1,0)</f>
        <v>0</v>
      </c>
      <c r="X23" s="27">
        <f>IF(tbl_sale[[#This Row],[Delivery Status]]="Delivered",1,0)</f>
        <v>0</v>
      </c>
    </row>
    <row r="24" spans="1:24" ht="18" customHeight="1" x14ac:dyDescent="0.3">
      <c r="A24" s="12" t="s">
        <v>80</v>
      </c>
      <c r="B24" s="23">
        <v>44970</v>
      </c>
      <c r="C24" s="23"/>
      <c r="D24" s="23">
        <v>44971</v>
      </c>
      <c r="E24" s="23" t="str">
        <f>TEXT(tbl_sale[[#This Row],[Order Date]],"MMM")</f>
        <v>Feb</v>
      </c>
      <c r="F24" s="23" t="str">
        <f t="shared" si="0"/>
        <v>Cancelled</v>
      </c>
      <c r="G24" s="2" t="s">
        <v>81</v>
      </c>
      <c r="H24" s="2" t="s">
        <v>33</v>
      </c>
      <c r="I24" s="2" t="s">
        <v>46</v>
      </c>
      <c r="J24" s="34">
        <v>58</v>
      </c>
      <c r="K24" s="3">
        <v>3</v>
      </c>
      <c r="L24" s="38">
        <v>174</v>
      </c>
      <c r="M24" s="2" t="s">
        <v>37</v>
      </c>
      <c r="N24" s="13" t="s">
        <v>34</v>
      </c>
      <c r="O24" s="27" t="str">
        <f>_xlfn.XLOOKUP(tbl_sale[[#This Row],[Customer ID]],CustomerMaster!A:A,CustomerMaster!B:B,"NA",0)</f>
        <v>Elijah Lewis</v>
      </c>
      <c r="P24" s="27" t="str">
        <f>_xlfn.XLOOKUP(tbl_sale[[#This Row],[Product ID]],ProductMaster!$A$2:$A$23,ProductMaster!$B$2:$B$23,"NA",0)</f>
        <v>Jeans</v>
      </c>
      <c r="Q24" s="27" t="str">
        <f>_xlfn.XLOOKUP(tbl_sale[[#This Row],[Product ID]],ProductMaster!$A$2:$A$23,ProductMaster!$C$2:$C$23,"NA",0)</f>
        <v>Fashion</v>
      </c>
      <c r="R24" s="27" t="str">
        <f>IFERROR(IF(tbl_sale[[#This Row],[Delivery Date]]="","Pending",IF(tbl_sale[[#This Row],[Delivery Date]]-tbl_sale[[#This Row],[Order Date]]&lt;= 2,"Fast","Slow")),"Error")</f>
        <v>Pending</v>
      </c>
      <c r="S24" s="27">
        <f>_xlfn.XLOOKUP(tbl_sale[[#This Row],[Region]],RegionGoals!$A$2:$A$6,RegionGoals!$B$2:$B$6, ,0)</f>
        <v>90750</v>
      </c>
      <c r="T24" s="27" t="str">
        <f>_xlfn.XLOOKUP(tbl_sale[[#This Row],[Customer ID]],CustomerMaster!$A:$A,CustomerMaster!$C:$C,"NA",0)</f>
        <v>Prime</v>
      </c>
      <c r="U24" s="27">
        <f>IF(tbl_sale[[#This Row],[Delivery Status]]="Cancelled",1,0)</f>
        <v>1</v>
      </c>
      <c r="V24" s="27">
        <f>IF(tbl_sale[[#This Row],[Order ID]]&lt;&gt;"",1,0)</f>
        <v>1</v>
      </c>
      <c r="W24" s="27">
        <f>IF(AND(tbl_sale[[#This Row],[Delivery Status]]="Delivered",tbl_sale[[#This Row],[Delivery Performance]]="Fast"),1,0)</f>
        <v>0</v>
      </c>
      <c r="X24" s="27">
        <f>IF(tbl_sale[[#This Row],[Delivery Status]]="Delivered",1,0)</f>
        <v>0</v>
      </c>
    </row>
    <row r="25" spans="1:24" ht="18" customHeight="1" x14ac:dyDescent="0.3">
      <c r="A25" s="12" t="s">
        <v>82</v>
      </c>
      <c r="B25" s="23">
        <v>45232</v>
      </c>
      <c r="C25" s="23">
        <v>45235</v>
      </c>
      <c r="D25" s="23"/>
      <c r="E25" s="23" t="str">
        <f>TEXT(tbl_sale[[#This Row],[Order Date]],"MMM")</f>
        <v>Nov</v>
      </c>
      <c r="F25" s="23" t="str">
        <f t="shared" si="0"/>
        <v>Delivered</v>
      </c>
      <c r="G25" s="2" t="s">
        <v>83</v>
      </c>
      <c r="H25" s="2" t="s">
        <v>60</v>
      </c>
      <c r="I25" s="2" t="s">
        <v>46</v>
      </c>
      <c r="J25" s="34">
        <v>96</v>
      </c>
      <c r="K25" s="3">
        <v>5</v>
      </c>
      <c r="L25" s="38">
        <v>480</v>
      </c>
      <c r="M25" s="2" t="s">
        <v>37</v>
      </c>
      <c r="N25" s="13" t="s">
        <v>34</v>
      </c>
      <c r="O25" s="27" t="str">
        <f>_xlfn.XLOOKUP(tbl_sale[[#This Row],[Customer ID]],CustomerMaster!A:A,CustomerMaster!B:B,"NA",0)</f>
        <v>Lily Bennett</v>
      </c>
      <c r="P25" s="27" t="str">
        <f>_xlfn.XLOOKUP(tbl_sale[[#This Row],[Product ID]],ProductMaster!$A$2:$A$23,ProductMaster!$B$2:$B$23,"NA",0)</f>
        <v>Shoes</v>
      </c>
      <c r="Q25" s="27" t="str">
        <f>_xlfn.XLOOKUP(tbl_sale[[#This Row],[Product ID]],ProductMaster!$A$2:$A$23,ProductMaster!$C$2:$C$23,"NA",0)</f>
        <v>Fashion</v>
      </c>
      <c r="R25" s="27" t="str">
        <f>IFERROR(IF(tbl_sale[[#This Row],[Delivery Date]]="","Pending",IF(tbl_sale[[#This Row],[Delivery Date]]-tbl_sale[[#This Row],[Order Date]]&lt;= 2,"Fast","Slow")),"Error")</f>
        <v>Slow</v>
      </c>
      <c r="S25" s="27">
        <f>_xlfn.XLOOKUP(tbl_sale[[#This Row],[Region]],RegionGoals!$A$2:$A$6,RegionGoals!$B$2:$B$6, ,0)</f>
        <v>90750</v>
      </c>
      <c r="T25" s="27" t="str">
        <f>_xlfn.XLOOKUP(tbl_sale[[#This Row],[Customer ID]],CustomerMaster!$A:$A,CustomerMaster!$C:$C,"NA",0)</f>
        <v>Business</v>
      </c>
      <c r="U25" s="27">
        <f>IF(tbl_sale[[#This Row],[Delivery Status]]="Cancelled",1,0)</f>
        <v>0</v>
      </c>
      <c r="V25" s="27">
        <f>IF(tbl_sale[[#This Row],[Order ID]]&lt;&gt;"",1,0)</f>
        <v>1</v>
      </c>
      <c r="W25" s="27">
        <f>IF(AND(tbl_sale[[#This Row],[Delivery Status]]="Delivered",tbl_sale[[#This Row],[Delivery Performance]]="Fast"),1,0)</f>
        <v>0</v>
      </c>
      <c r="X25" s="27">
        <f>IF(tbl_sale[[#This Row],[Delivery Status]]="Delivered",1,0)</f>
        <v>1</v>
      </c>
    </row>
    <row r="26" spans="1:24" ht="18" customHeight="1" x14ac:dyDescent="0.3">
      <c r="A26" s="12" t="s">
        <v>84</v>
      </c>
      <c r="B26" s="23">
        <v>45074</v>
      </c>
      <c r="C26" s="23">
        <v>45076</v>
      </c>
      <c r="D26" s="23"/>
      <c r="E26" s="23" t="str">
        <f>TEXT(tbl_sale[[#This Row],[Order Date]],"MMM")</f>
        <v>May</v>
      </c>
      <c r="F26" s="23" t="str">
        <f t="shared" si="0"/>
        <v>Delivered</v>
      </c>
      <c r="G26" s="2" t="s">
        <v>85</v>
      </c>
      <c r="H26" s="2" t="s">
        <v>86</v>
      </c>
      <c r="I26" s="2" t="s">
        <v>25</v>
      </c>
      <c r="J26" s="34">
        <v>43</v>
      </c>
      <c r="K26" s="3">
        <v>1</v>
      </c>
      <c r="L26" s="38">
        <v>43</v>
      </c>
      <c r="M26" s="2" t="s">
        <v>42</v>
      </c>
      <c r="N26" s="13" t="s">
        <v>34</v>
      </c>
      <c r="O26" s="27" t="str">
        <f>_xlfn.XLOOKUP(tbl_sale[[#This Row],[Customer ID]],CustomerMaster!A:A,CustomerMaster!B:B,"NA",0)</f>
        <v>Benjamin Clark</v>
      </c>
      <c r="P26" s="27" t="str">
        <f>_xlfn.XLOOKUP(tbl_sale[[#This Row],[Product ID]],ProductMaster!$A$2:$A$23,ProductMaster!$B$2:$B$23,"NA",0)</f>
        <v>Action Figure</v>
      </c>
      <c r="Q26" s="27" t="str">
        <f>_xlfn.XLOOKUP(tbl_sale[[#This Row],[Product ID]],ProductMaster!$A$2:$A$23,ProductMaster!$C$2:$C$23,"NA",0)</f>
        <v>Toys</v>
      </c>
      <c r="R26" s="27" t="str">
        <f>IFERROR(IF(tbl_sale[[#This Row],[Delivery Date]]="","Pending",IF(tbl_sale[[#This Row],[Delivery Date]]-tbl_sale[[#This Row],[Order Date]]&lt;= 2,"Fast","Slow")),"Error")</f>
        <v>Fast</v>
      </c>
      <c r="S26" s="27">
        <f>_xlfn.XLOOKUP(tbl_sale[[#This Row],[Region]],RegionGoals!$A$2:$A$6,RegionGoals!$B$2:$B$6, ,0)</f>
        <v>91500</v>
      </c>
      <c r="T26" s="27" t="str">
        <f>_xlfn.XLOOKUP(tbl_sale[[#This Row],[Customer ID]],CustomerMaster!$A:$A,CustomerMaster!$C:$C,"NA",0)</f>
        <v>Prime</v>
      </c>
      <c r="U26" s="27">
        <f>IF(tbl_sale[[#This Row],[Delivery Status]]="Cancelled",1,0)</f>
        <v>0</v>
      </c>
      <c r="V26" s="27">
        <f>IF(tbl_sale[[#This Row],[Order ID]]&lt;&gt;"",1,0)</f>
        <v>1</v>
      </c>
      <c r="W26" s="27">
        <f>IF(AND(tbl_sale[[#This Row],[Delivery Status]]="Delivered",tbl_sale[[#This Row],[Delivery Performance]]="Fast"),1,0)</f>
        <v>1</v>
      </c>
      <c r="X26" s="27">
        <f>IF(tbl_sale[[#This Row],[Delivery Status]]="Delivered",1,0)</f>
        <v>1</v>
      </c>
    </row>
    <row r="27" spans="1:24" ht="18" customHeight="1" x14ac:dyDescent="0.3">
      <c r="A27" s="12" t="s">
        <v>87</v>
      </c>
      <c r="B27" s="23">
        <v>45214</v>
      </c>
      <c r="C27" s="23">
        <v>45220</v>
      </c>
      <c r="D27" s="23"/>
      <c r="E27" s="23" t="str">
        <f>TEXT(tbl_sale[[#This Row],[Order Date]],"MMM")</f>
        <v>Oct</v>
      </c>
      <c r="F27" s="23" t="str">
        <f t="shared" si="0"/>
        <v>Delivered</v>
      </c>
      <c r="G27" s="2" t="s">
        <v>32</v>
      </c>
      <c r="H27" s="2" t="s">
        <v>88</v>
      </c>
      <c r="I27" s="2" t="s">
        <v>25</v>
      </c>
      <c r="J27" s="34">
        <v>64</v>
      </c>
      <c r="K27" s="3">
        <v>4</v>
      </c>
      <c r="L27" s="38">
        <v>256</v>
      </c>
      <c r="M27" s="2" t="s">
        <v>42</v>
      </c>
      <c r="N27" s="13" t="s">
        <v>26</v>
      </c>
      <c r="O27" s="27" t="str">
        <f>_xlfn.XLOOKUP(tbl_sale[[#This Row],[Customer ID]],CustomerMaster!A:A,CustomerMaster!B:B,"NA",0)</f>
        <v>Hazel Brooks</v>
      </c>
      <c r="P27" s="27" t="str">
        <f>_xlfn.XLOOKUP(tbl_sale[[#This Row],[Product ID]],ProductMaster!$A$2:$A$23,ProductMaster!$B$2:$B$23,"NA",0)</f>
        <v>Backpack</v>
      </c>
      <c r="Q27" s="27" t="str">
        <f>_xlfn.XLOOKUP(tbl_sale[[#This Row],[Product ID]],ProductMaster!$A$2:$A$23,ProductMaster!$C$2:$C$23,"NA",0)</f>
        <v>Fashion</v>
      </c>
      <c r="R27" s="27" t="str">
        <f>IFERROR(IF(tbl_sale[[#This Row],[Delivery Date]]="","Pending",IF(tbl_sale[[#This Row],[Delivery Date]]-tbl_sale[[#This Row],[Order Date]]&lt;= 2,"Fast","Slow")),"Error")</f>
        <v>Slow</v>
      </c>
      <c r="S27" s="27">
        <f>_xlfn.XLOOKUP(tbl_sale[[#This Row],[Region]],RegionGoals!$A$2:$A$6,RegionGoals!$B$2:$B$6, ,0)</f>
        <v>91500</v>
      </c>
      <c r="T27" s="27" t="str">
        <f>_xlfn.XLOOKUP(tbl_sale[[#This Row],[Customer ID]],CustomerMaster!$A:$A,CustomerMaster!$C:$C,"NA",0)</f>
        <v>Individual</v>
      </c>
      <c r="U27" s="27">
        <f>IF(tbl_sale[[#This Row],[Delivery Status]]="Cancelled",1,0)</f>
        <v>0</v>
      </c>
      <c r="V27" s="27">
        <f>IF(tbl_sale[[#This Row],[Order ID]]&lt;&gt;"",1,0)</f>
        <v>1</v>
      </c>
      <c r="W27" s="27">
        <f>IF(AND(tbl_sale[[#This Row],[Delivery Status]]="Delivered",tbl_sale[[#This Row],[Delivery Performance]]="Fast"),1,0)</f>
        <v>0</v>
      </c>
      <c r="X27" s="27">
        <f>IF(tbl_sale[[#This Row],[Delivery Status]]="Delivered",1,0)</f>
        <v>1</v>
      </c>
    </row>
    <row r="28" spans="1:24" ht="18" customHeight="1" x14ac:dyDescent="0.3">
      <c r="A28" s="12" t="s">
        <v>89</v>
      </c>
      <c r="B28" s="23">
        <v>44942</v>
      </c>
      <c r="C28" s="23"/>
      <c r="D28" s="23"/>
      <c r="E28" s="23" t="str">
        <f>TEXT(tbl_sale[[#This Row],[Order Date]],"MMM")</f>
        <v>Jan</v>
      </c>
      <c r="F28" s="23" t="str">
        <f t="shared" si="0"/>
        <v>In Transit</v>
      </c>
      <c r="G28" s="2" t="s">
        <v>90</v>
      </c>
      <c r="H28" s="2" t="s">
        <v>72</v>
      </c>
      <c r="I28" s="2" t="s">
        <v>25</v>
      </c>
      <c r="J28" s="34">
        <v>70</v>
      </c>
      <c r="K28" s="3">
        <v>2</v>
      </c>
      <c r="L28" s="38">
        <v>140</v>
      </c>
      <c r="M28" s="2" t="s">
        <v>37</v>
      </c>
      <c r="N28" s="13" t="s">
        <v>34</v>
      </c>
      <c r="O28" s="27" t="str">
        <f>_xlfn.XLOOKUP(tbl_sale[[#This Row],[Customer ID]],CustomerMaster!A:A,CustomerMaster!B:B,"NA",0)</f>
        <v>Grace Scott</v>
      </c>
      <c r="P28" s="27" t="str">
        <f>_xlfn.XLOOKUP(tbl_sale[[#This Row],[Product ID]],ProductMaster!$A$2:$A$23,ProductMaster!$B$2:$B$23,"NA",0)</f>
        <v>Textbook</v>
      </c>
      <c r="Q28" s="27" t="str">
        <f>_xlfn.XLOOKUP(tbl_sale[[#This Row],[Product ID]],ProductMaster!$A$2:$A$23,ProductMaster!$C$2:$C$23,"NA",0)</f>
        <v>Books</v>
      </c>
      <c r="R28" s="27" t="str">
        <f>IFERROR(IF(tbl_sale[[#This Row],[Delivery Date]]="","Pending",IF(tbl_sale[[#This Row],[Delivery Date]]-tbl_sale[[#This Row],[Order Date]]&lt;= 2,"Fast","Slow")),"Error")</f>
        <v>Pending</v>
      </c>
      <c r="S28" s="27">
        <f>_xlfn.XLOOKUP(tbl_sale[[#This Row],[Region]],RegionGoals!$A$2:$A$6,RegionGoals!$B$2:$B$6, ,0)</f>
        <v>91500</v>
      </c>
      <c r="T28" s="27" t="str">
        <f>_xlfn.XLOOKUP(tbl_sale[[#This Row],[Customer ID]],CustomerMaster!$A:$A,CustomerMaster!$C:$C,"NA",0)</f>
        <v>Individual</v>
      </c>
      <c r="U28" s="27">
        <f>IF(tbl_sale[[#This Row],[Delivery Status]]="Cancelled",1,0)</f>
        <v>0</v>
      </c>
      <c r="V28" s="27">
        <f>IF(tbl_sale[[#This Row],[Order ID]]&lt;&gt;"",1,0)</f>
        <v>1</v>
      </c>
      <c r="W28" s="27">
        <f>IF(AND(tbl_sale[[#This Row],[Delivery Status]]="Delivered",tbl_sale[[#This Row],[Delivery Performance]]="Fast"),1,0)</f>
        <v>0</v>
      </c>
      <c r="X28" s="27">
        <f>IF(tbl_sale[[#This Row],[Delivery Status]]="Delivered",1,0)</f>
        <v>0</v>
      </c>
    </row>
    <row r="29" spans="1:24" ht="18" customHeight="1" x14ac:dyDescent="0.3">
      <c r="A29" s="12" t="s">
        <v>91</v>
      </c>
      <c r="B29" s="23">
        <v>45208</v>
      </c>
      <c r="C29" s="23"/>
      <c r="D29" s="23"/>
      <c r="E29" s="23" t="str">
        <f>TEXT(tbl_sale[[#This Row],[Order Date]],"MMM")</f>
        <v>Oct</v>
      </c>
      <c r="F29" s="23" t="str">
        <f t="shared" si="0"/>
        <v>In Transit</v>
      </c>
      <c r="G29" s="2" t="s">
        <v>90</v>
      </c>
      <c r="H29" s="2" t="s">
        <v>20</v>
      </c>
      <c r="I29" s="2" t="s">
        <v>41</v>
      </c>
      <c r="J29" s="34">
        <v>97</v>
      </c>
      <c r="K29" s="3">
        <v>3</v>
      </c>
      <c r="L29" s="38">
        <v>291</v>
      </c>
      <c r="M29" s="2" t="s">
        <v>22</v>
      </c>
      <c r="N29" s="13" t="s">
        <v>34</v>
      </c>
      <c r="O29" s="27" t="str">
        <f>_xlfn.XLOOKUP(tbl_sale[[#This Row],[Customer ID]],CustomerMaster!A:A,CustomerMaster!B:B,"NA",0)</f>
        <v>Grace Scott</v>
      </c>
      <c r="P29" s="27" t="str">
        <f>_xlfn.XLOOKUP(tbl_sale[[#This Row],[Product ID]],ProductMaster!$A$2:$A$23,ProductMaster!$B$2:$B$23,"NA",0)</f>
        <v>Doll House</v>
      </c>
      <c r="Q29" s="27" t="str">
        <f>_xlfn.XLOOKUP(tbl_sale[[#This Row],[Product ID]],ProductMaster!$A$2:$A$23,ProductMaster!$C$2:$C$23,"NA",0)</f>
        <v>Toys</v>
      </c>
      <c r="R29" s="27" t="str">
        <f>IFERROR(IF(tbl_sale[[#This Row],[Delivery Date]]="","Pending",IF(tbl_sale[[#This Row],[Delivery Date]]-tbl_sale[[#This Row],[Order Date]]&lt;= 2,"Fast","Slow")),"Error")</f>
        <v>Pending</v>
      </c>
      <c r="S29" s="27">
        <f>_xlfn.XLOOKUP(tbl_sale[[#This Row],[Region]],RegionGoals!$A$2:$A$6,RegionGoals!$B$2:$B$6, ,0)</f>
        <v>97500</v>
      </c>
      <c r="T29" s="27" t="str">
        <f>_xlfn.XLOOKUP(tbl_sale[[#This Row],[Customer ID]],CustomerMaster!$A:$A,CustomerMaster!$C:$C,"NA",0)</f>
        <v>Individual</v>
      </c>
      <c r="U29" s="27">
        <f>IF(tbl_sale[[#This Row],[Delivery Status]]="Cancelled",1,0)</f>
        <v>0</v>
      </c>
      <c r="V29" s="27">
        <f>IF(tbl_sale[[#This Row],[Order ID]]&lt;&gt;"",1,0)</f>
        <v>1</v>
      </c>
      <c r="W29" s="27">
        <f>IF(AND(tbl_sale[[#This Row],[Delivery Status]]="Delivered",tbl_sale[[#This Row],[Delivery Performance]]="Fast"),1,0)</f>
        <v>0</v>
      </c>
      <c r="X29" s="27">
        <f>IF(tbl_sale[[#This Row],[Delivery Status]]="Delivered",1,0)</f>
        <v>0</v>
      </c>
    </row>
    <row r="30" spans="1:24" ht="18" customHeight="1" x14ac:dyDescent="0.3">
      <c r="A30" s="12" t="s">
        <v>92</v>
      </c>
      <c r="B30" s="23">
        <v>45206</v>
      </c>
      <c r="C30" s="23"/>
      <c r="D30" s="23">
        <v>45209</v>
      </c>
      <c r="E30" s="23" t="str">
        <f>TEXT(tbl_sale[[#This Row],[Order Date]],"MMM")</f>
        <v>Oct</v>
      </c>
      <c r="F30" s="23" t="str">
        <f t="shared" si="0"/>
        <v>Cancelled</v>
      </c>
      <c r="G30" s="2" t="s">
        <v>93</v>
      </c>
      <c r="H30" s="2" t="s">
        <v>45</v>
      </c>
      <c r="I30" s="2" t="s">
        <v>21</v>
      </c>
      <c r="J30" s="34">
        <v>37</v>
      </c>
      <c r="K30" s="3">
        <v>3</v>
      </c>
      <c r="L30" s="38">
        <v>111</v>
      </c>
      <c r="M30" s="2" t="s">
        <v>16</v>
      </c>
      <c r="N30" s="13" t="s">
        <v>17</v>
      </c>
      <c r="O30" s="27" t="str">
        <f>_xlfn.XLOOKUP(tbl_sale[[#This Row],[Customer ID]],CustomerMaster!A:A,CustomerMaster!B:B,"NA",0)</f>
        <v>Liam Walker</v>
      </c>
      <c r="P30" s="27" t="str">
        <f>_xlfn.XLOOKUP(tbl_sale[[#This Row],[Product ID]],ProductMaster!$A$2:$A$23,ProductMaster!$B$2:$B$23,"NA",0)</f>
        <v>Wall Clock</v>
      </c>
      <c r="Q30" s="27" t="str">
        <f>_xlfn.XLOOKUP(tbl_sale[[#This Row],[Product ID]],ProductMaster!$A$2:$A$23,ProductMaster!$C$2:$C$23,"NA",0)</f>
        <v>Home</v>
      </c>
      <c r="R30" s="27" t="str">
        <f>IFERROR(IF(tbl_sale[[#This Row],[Delivery Date]]="","Pending",IF(tbl_sale[[#This Row],[Delivery Date]]-tbl_sale[[#This Row],[Order Date]]&lt;= 2,"Fast","Slow")),"Error")</f>
        <v>Pending</v>
      </c>
      <c r="S30" s="27">
        <f>_xlfn.XLOOKUP(tbl_sale[[#This Row],[Region]],RegionGoals!$A$2:$A$6,RegionGoals!$B$2:$B$6, ,0)</f>
        <v>50500</v>
      </c>
      <c r="T30" s="27" t="str">
        <f>_xlfn.XLOOKUP(tbl_sale[[#This Row],[Customer ID]],CustomerMaster!$A:$A,CustomerMaster!$C:$C,"NA",0)</f>
        <v>Prime</v>
      </c>
      <c r="U30" s="27">
        <f>IF(tbl_sale[[#This Row],[Delivery Status]]="Cancelled",1,0)</f>
        <v>1</v>
      </c>
      <c r="V30" s="27">
        <f>IF(tbl_sale[[#This Row],[Order ID]]&lt;&gt;"",1,0)</f>
        <v>1</v>
      </c>
      <c r="W30" s="27">
        <f>IF(AND(tbl_sale[[#This Row],[Delivery Status]]="Delivered",tbl_sale[[#This Row],[Delivery Performance]]="Fast"),1,0)</f>
        <v>0</v>
      </c>
      <c r="X30" s="27">
        <f>IF(tbl_sale[[#This Row],[Delivery Status]]="Delivered",1,0)</f>
        <v>0</v>
      </c>
    </row>
    <row r="31" spans="1:24" ht="18" customHeight="1" x14ac:dyDescent="0.3">
      <c r="A31" s="12" t="s">
        <v>94</v>
      </c>
      <c r="B31" s="23">
        <v>44971</v>
      </c>
      <c r="C31" s="23"/>
      <c r="D31" s="23"/>
      <c r="E31" s="23" t="str">
        <f>TEXT(tbl_sale[[#This Row],[Order Date]],"MMM")</f>
        <v>Feb</v>
      </c>
      <c r="F31" s="23" t="str">
        <f t="shared" si="0"/>
        <v>In Transit</v>
      </c>
      <c r="G31" s="2" t="s">
        <v>95</v>
      </c>
      <c r="H31" s="2" t="s">
        <v>72</v>
      </c>
      <c r="I31" s="2" t="s">
        <v>15</v>
      </c>
      <c r="J31" s="34">
        <v>69</v>
      </c>
      <c r="K31" s="3">
        <v>5</v>
      </c>
      <c r="L31" s="38">
        <v>345</v>
      </c>
      <c r="M31" s="2" t="s">
        <v>37</v>
      </c>
      <c r="N31" s="13" t="s">
        <v>34</v>
      </c>
      <c r="O31" s="27" t="str">
        <f>_xlfn.XLOOKUP(tbl_sale[[#This Row],[Customer ID]],CustomerMaster!A:A,CustomerMaster!B:B,"NA",0)</f>
        <v>Harper Young</v>
      </c>
      <c r="P31" s="27" t="str">
        <f>_xlfn.XLOOKUP(tbl_sale[[#This Row],[Product ID]],ProductMaster!$A$2:$A$23,ProductMaster!$B$2:$B$23,"NA",0)</f>
        <v>Textbook</v>
      </c>
      <c r="Q31" s="27" t="str">
        <f>_xlfn.XLOOKUP(tbl_sale[[#This Row],[Product ID]],ProductMaster!$A$2:$A$23,ProductMaster!$C$2:$C$23,"NA",0)</f>
        <v>Books</v>
      </c>
      <c r="R31" s="27" t="str">
        <f>IFERROR(IF(tbl_sale[[#This Row],[Delivery Date]]="","Pending",IF(tbl_sale[[#This Row],[Delivery Date]]-tbl_sale[[#This Row],[Order Date]]&lt;= 2,"Fast","Slow")),"Error")</f>
        <v>Pending</v>
      </c>
      <c r="S31" s="27">
        <f>_xlfn.XLOOKUP(tbl_sale[[#This Row],[Region]],RegionGoals!$A$2:$A$6,RegionGoals!$B$2:$B$6, ,0)</f>
        <v>105000</v>
      </c>
      <c r="T31" s="27" t="str">
        <f>_xlfn.XLOOKUP(tbl_sale[[#This Row],[Customer ID]],CustomerMaster!$A:$A,CustomerMaster!$C:$C,"NA",0)</f>
        <v>Business</v>
      </c>
      <c r="U31" s="27">
        <f>IF(tbl_sale[[#This Row],[Delivery Status]]="Cancelled",1,0)</f>
        <v>0</v>
      </c>
      <c r="V31" s="27">
        <f>IF(tbl_sale[[#This Row],[Order ID]]&lt;&gt;"",1,0)</f>
        <v>1</v>
      </c>
      <c r="W31" s="27">
        <f>IF(AND(tbl_sale[[#This Row],[Delivery Status]]="Delivered",tbl_sale[[#This Row],[Delivery Performance]]="Fast"),1,0)</f>
        <v>0</v>
      </c>
      <c r="X31" s="27">
        <f>IF(tbl_sale[[#This Row],[Delivery Status]]="Delivered",1,0)</f>
        <v>0</v>
      </c>
    </row>
    <row r="32" spans="1:24" ht="18" customHeight="1" x14ac:dyDescent="0.3">
      <c r="A32" s="12" t="s">
        <v>96</v>
      </c>
      <c r="B32" s="23">
        <v>45011</v>
      </c>
      <c r="C32" s="23"/>
      <c r="D32" s="23"/>
      <c r="E32" s="23" t="str">
        <f>TEXT(tbl_sale[[#This Row],[Order Date]],"MMM")</f>
        <v>Mar</v>
      </c>
      <c r="F32" s="23" t="str">
        <f t="shared" si="0"/>
        <v>In Transit</v>
      </c>
      <c r="G32" s="2" t="s">
        <v>97</v>
      </c>
      <c r="H32" s="2" t="s">
        <v>86</v>
      </c>
      <c r="I32" s="2" t="s">
        <v>15</v>
      </c>
      <c r="J32" s="34">
        <v>42</v>
      </c>
      <c r="K32" s="3">
        <v>5</v>
      </c>
      <c r="L32" s="38">
        <v>210</v>
      </c>
      <c r="M32" s="2" t="s">
        <v>37</v>
      </c>
      <c r="N32" s="13" t="s">
        <v>30</v>
      </c>
      <c r="O32" s="27" t="str">
        <f>_xlfn.XLOOKUP(tbl_sale[[#This Row],[Customer ID]],CustomerMaster!A:A,CustomerMaster!B:B,"NA",0)</f>
        <v>Harper Young</v>
      </c>
      <c r="P32" s="27" t="str">
        <f>_xlfn.XLOOKUP(tbl_sale[[#This Row],[Product ID]],ProductMaster!$A$2:$A$23,ProductMaster!$B$2:$B$23,"NA",0)</f>
        <v>Action Figure</v>
      </c>
      <c r="Q32" s="27" t="str">
        <f>_xlfn.XLOOKUP(tbl_sale[[#This Row],[Product ID]],ProductMaster!$A$2:$A$23,ProductMaster!$C$2:$C$23,"NA",0)</f>
        <v>Toys</v>
      </c>
      <c r="R32" s="27" t="str">
        <f>IFERROR(IF(tbl_sale[[#This Row],[Delivery Date]]="","Pending",IF(tbl_sale[[#This Row],[Delivery Date]]-tbl_sale[[#This Row],[Order Date]]&lt;= 2,"Fast","Slow")),"Error")</f>
        <v>Pending</v>
      </c>
      <c r="S32" s="27">
        <f>_xlfn.XLOOKUP(tbl_sale[[#This Row],[Region]],RegionGoals!$A$2:$A$6,RegionGoals!$B$2:$B$6, ,0)</f>
        <v>105000</v>
      </c>
      <c r="T32" s="27" t="str">
        <f>_xlfn.XLOOKUP(tbl_sale[[#This Row],[Customer ID]],CustomerMaster!$A:$A,CustomerMaster!$C:$C,"NA",0)</f>
        <v>Individual</v>
      </c>
      <c r="U32" s="27">
        <f>IF(tbl_sale[[#This Row],[Delivery Status]]="Cancelled",1,0)</f>
        <v>0</v>
      </c>
      <c r="V32" s="27">
        <f>IF(tbl_sale[[#This Row],[Order ID]]&lt;&gt;"",1,0)</f>
        <v>1</v>
      </c>
      <c r="W32" s="27">
        <f>IF(AND(tbl_sale[[#This Row],[Delivery Status]]="Delivered",tbl_sale[[#This Row],[Delivery Performance]]="Fast"),1,0)</f>
        <v>0</v>
      </c>
      <c r="X32" s="27">
        <f>IF(tbl_sale[[#This Row],[Delivery Status]]="Delivered",1,0)</f>
        <v>0</v>
      </c>
    </row>
    <row r="33" spans="1:24" ht="18" customHeight="1" x14ac:dyDescent="0.3">
      <c r="A33" s="12" t="s">
        <v>98</v>
      </c>
      <c r="B33" s="23">
        <v>45092</v>
      </c>
      <c r="C33" s="23"/>
      <c r="D33" s="23">
        <v>45099</v>
      </c>
      <c r="E33" s="23" t="str">
        <f>TEXT(tbl_sale[[#This Row],[Order Date]],"MMM")</f>
        <v>Jun</v>
      </c>
      <c r="F33" s="23" t="str">
        <f t="shared" si="0"/>
        <v>Cancelled</v>
      </c>
      <c r="G33" s="2" t="s">
        <v>99</v>
      </c>
      <c r="H33" s="2" t="s">
        <v>100</v>
      </c>
      <c r="I33" s="2" t="s">
        <v>21</v>
      </c>
      <c r="J33" s="34">
        <v>11</v>
      </c>
      <c r="K33" s="3">
        <v>5</v>
      </c>
      <c r="L33" s="38">
        <v>55</v>
      </c>
      <c r="M33" s="2" t="s">
        <v>42</v>
      </c>
      <c r="N33" s="13" t="s">
        <v>57</v>
      </c>
      <c r="O33" s="27" t="str">
        <f>_xlfn.XLOOKUP(tbl_sale[[#This Row],[Customer ID]],CustomerMaster!A:A,CustomerMaster!B:B,"NA",0)</f>
        <v>Emily Johnson</v>
      </c>
      <c r="P33" s="27" t="str">
        <f>_xlfn.XLOOKUP(tbl_sale[[#This Row],[Product ID]],ProductMaster!$A$2:$A$23,ProductMaster!$B$2:$B$23,"NA",0)</f>
        <v>Magazine</v>
      </c>
      <c r="Q33" s="27" t="str">
        <f>_xlfn.XLOOKUP(tbl_sale[[#This Row],[Product ID]],ProductMaster!$A$2:$A$23,ProductMaster!$C$2:$C$23,"NA",0)</f>
        <v>Books</v>
      </c>
      <c r="R33" s="27" t="str">
        <f>IFERROR(IF(tbl_sale[[#This Row],[Delivery Date]]="","Pending",IF(tbl_sale[[#This Row],[Delivery Date]]-tbl_sale[[#This Row],[Order Date]]&lt;= 2,"Fast","Slow")),"Error")</f>
        <v>Pending</v>
      </c>
      <c r="S33" s="27">
        <f>_xlfn.XLOOKUP(tbl_sale[[#This Row],[Region]],RegionGoals!$A$2:$A$6,RegionGoals!$B$2:$B$6, ,0)</f>
        <v>50500</v>
      </c>
      <c r="T33" s="27" t="str">
        <f>_xlfn.XLOOKUP(tbl_sale[[#This Row],[Customer ID]],CustomerMaster!$A:$A,CustomerMaster!$C:$C,"NA",0)</f>
        <v>Individual</v>
      </c>
      <c r="U33" s="27">
        <f>IF(tbl_sale[[#This Row],[Delivery Status]]="Cancelled",1,0)</f>
        <v>1</v>
      </c>
      <c r="V33" s="27">
        <f>IF(tbl_sale[[#This Row],[Order ID]]&lt;&gt;"",1,0)</f>
        <v>1</v>
      </c>
      <c r="W33" s="27">
        <f>IF(AND(tbl_sale[[#This Row],[Delivery Status]]="Delivered",tbl_sale[[#This Row],[Delivery Performance]]="Fast"),1,0)</f>
        <v>0</v>
      </c>
      <c r="X33" s="27">
        <f>IF(tbl_sale[[#This Row],[Delivery Status]]="Delivered",1,0)</f>
        <v>0</v>
      </c>
    </row>
    <row r="34" spans="1:24" ht="18" customHeight="1" x14ac:dyDescent="0.3">
      <c r="A34" s="12" t="s">
        <v>101</v>
      </c>
      <c r="B34" s="23">
        <v>45068</v>
      </c>
      <c r="C34" s="23">
        <v>45069</v>
      </c>
      <c r="D34" s="23"/>
      <c r="E34" s="23" t="str">
        <f>TEXT(tbl_sale[[#This Row],[Order Date]],"MMM")</f>
        <v>May</v>
      </c>
      <c r="F34" s="23" t="str">
        <f t="shared" si="0"/>
        <v>Delivered</v>
      </c>
      <c r="G34" s="2" t="s">
        <v>81</v>
      </c>
      <c r="H34" s="2" t="s">
        <v>65</v>
      </c>
      <c r="I34" s="2" t="s">
        <v>25</v>
      </c>
      <c r="J34" s="34">
        <v>27</v>
      </c>
      <c r="K34" s="3">
        <v>2</v>
      </c>
      <c r="L34" s="38">
        <v>54</v>
      </c>
      <c r="M34" s="2" t="s">
        <v>16</v>
      </c>
      <c r="N34" s="13" t="s">
        <v>26</v>
      </c>
      <c r="O34" s="27" t="str">
        <f>_xlfn.XLOOKUP(tbl_sale[[#This Row],[Customer ID]],CustomerMaster!A:A,CustomerMaster!B:B,"NA",0)</f>
        <v>Elijah Lewis</v>
      </c>
      <c r="P34" s="27" t="str">
        <f>_xlfn.XLOOKUP(tbl_sale[[#This Row],[Product ID]],ProductMaster!$A$2:$A$23,ProductMaster!$B$2:$B$23,"NA",0)</f>
        <v>T-Shirt</v>
      </c>
      <c r="Q34" s="27" t="str">
        <f>_xlfn.XLOOKUP(tbl_sale[[#This Row],[Product ID]],ProductMaster!$A$2:$A$23,ProductMaster!$C$2:$C$23,"NA",0)</f>
        <v>Fashion</v>
      </c>
      <c r="R34" s="27" t="str">
        <f>IFERROR(IF(tbl_sale[[#This Row],[Delivery Date]]="","Pending",IF(tbl_sale[[#This Row],[Delivery Date]]-tbl_sale[[#This Row],[Order Date]]&lt;= 2,"Fast","Slow")),"Error")</f>
        <v>Fast</v>
      </c>
      <c r="S34" s="27">
        <f>_xlfn.XLOOKUP(tbl_sale[[#This Row],[Region]],RegionGoals!$A$2:$A$6,RegionGoals!$B$2:$B$6, ,0)</f>
        <v>91500</v>
      </c>
      <c r="T34" s="27" t="str">
        <f>_xlfn.XLOOKUP(tbl_sale[[#This Row],[Customer ID]],CustomerMaster!$A:$A,CustomerMaster!$C:$C,"NA",0)</f>
        <v>Prime</v>
      </c>
      <c r="U34" s="27">
        <f>IF(tbl_sale[[#This Row],[Delivery Status]]="Cancelled",1,0)</f>
        <v>0</v>
      </c>
      <c r="V34" s="27">
        <f>IF(tbl_sale[[#This Row],[Order ID]]&lt;&gt;"",1,0)</f>
        <v>1</v>
      </c>
      <c r="W34" s="27">
        <f>IF(AND(tbl_sale[[#This Row],[Delivery Status]]="Delivered",tbl_sale[[#This Row],[Delivery Performance]]="Fast"),1,0)</f>
        <v>1</v>
      </c>
      <c r="X34" s="27">
        <f>IF(tbl_sale[[#This Row],[Delivery Status]]="Delivered",1,0)</f>
        <v>1</v>
      </c>
    </row>
    <row r="35" spans="1:24" ht="18" customHeight="1" x14ac:dyDescent="0.3">
      <c r="A35" s="12" t="s">
        <v>102</v>
      </c>
      <c r="B35" s="23">
        <v>45250</v>
      </c>
      <c r="C35" s="23"/>
      <c r="D35" s="23"/>
      <c r="E35" s="23" t="str">
        <f>TEXT(tbl_sale[[#This Row],[Order Date]],"MMM")</f>
        <v>Nov</v>
      </c>
      <c r="F35" s="23" t="str">
        <f t="shared" si="0"/>
        <v>In Transit</v>
      </c>
      <c r="G35" s="2" t="s">
        <v>76</v>
      </c>
      <c r="H35" s="2" t="s">
        <v>69</v>
      </c>
      <c r="I35" s="2" t="s">
        <v>25</v>
      </c>
      <c r="J35" s="34">
        <v>21</v>
      </c>
      <c r="K35" s="3">
        <v>1</v>
      </c>
      <c r="L35" s="38">
        <v>21</v>
      </c>
      <c r="M35" s="2" t="s">
        <v>37</v>
      </c>
      <c r="N35" s="13" t="s">
        <v>17</v>
      </c>
      <c r="O35" s="27" t="str">
        <f>_xlfn.XLOOKUP(tbl_sale[[#This Row],[Customer ID]],CustomerMaster!A:A,CustomerMaster!B:B,"NA",0)</f>
        <v>Emma King</v>
      </c>
      <c r="P35" s="27" t="str">
        <f>_xlfn.XLOOKUP(tbl_sale[[#This Row],[Product ID]],ProductMaster!$A$2:$A$23,ProductMaster!$B$2:$B$23,"NA",0)</f>
        <v>Novel</v>
      </c>
      <c r="Q35" s="27" t="str">
        <f>_xlfn.XLOOKUP(tbl_sale[[#This Row],[Product ID]],ProductMaster!$A$2:$A$23,ProductMaster!$C$2:$C$23,"NA",0)</f>
        <v>Books</v>
      </c>
      <c r="R35" s="27" t="str">
        <f>IFERROR(IF(tbl_sale[[#This Row],[Delivery Date]]="","Pending",IF(tbl_sale[[#This Row],[Delivery Date]]-tbl_sale[[#This Row],[Order Date]]&lt;= 2,"Fast","Slow")),"Error")</f>
        <v>Pending</v>
      </c>
      <c r="S35" s="27">
        <f>_xlfn.XLOOKUP(tbl_sale[[#This Row],[Region]],RegionGoals!$A$2:$A$6,RegionGoals!$B$2:$B$6, ,0)</f>
        <v>91500</v>
      </c>
      <c r="T35" s="27" t="str">
        <f>_xlfn.XLOOKUP(tbl_sale[[#This Row],[Customer ID]],CustomerMaster!$A:$A,CustomerMaster!$C:$C,"NA",0)</f>
        <v>Individual</v>
      </c>
      <c r="U35" s="27">
        <f>IF(tbl_sale[[#This Row],[Delivery Status]]="Cancelled",1,0)</f>
        <v>0</v>
      </c>
      <c r="V35" s="27">
        <f>IF(tbl_sale[[#This Row],[Order ID]]&lt;&gt;"",1,0)</f>
        <v>1</v>
      </c>
      <c r="W35" s="27">
        <f>IF(AND(tbl_sale[[#This Row],[Delivery Status]]="Delivered",tbl_sale[[#This Row],[Delivery Performance]]="Fast"),1,0)</f>
        <v>0</v>
      </c>
      <c r="X35" s="27">
        <f>IF(tbl_sale[[#This Row],[Delivery Status]]="Delivered",1,0)</f>
        <v>0</v>
      </c>
    </row>
    <row r="36" spans="1:24" ht="18" customHeight="1" x14ac:dyDescent="0.3">
      <c r="A36" s="12" t="s">
        <v>103</v>
      </c>
      <c r="B36" s="23">
        <v>45282</v>
      </c>
      <c r="C36" s="23">
        <v>45286</v>
      </c>
      <c r="D36" s="23"/>
      <c r="E36" s="23" t="str">
        <f>TEXT(tbl_sale[[#This Row],[Order Date]],"MMM")</f>
        <v>Dec</v>
      </c>
      <c r="F36" s="23" t="str">
        <f t="shared" si="0"/>
        <v>Delivered</v>
      </c>
      <c r="G36" s="2" t="s">
        <v>104</v>
      </c>
      <c r="H36" s="2" t="s">
        <v>105</v>
      </c>
      <c r="I36" s="2" t="s">
        <v>25</v>
      </c>
      <c r="J36" s="34">
        <v>172</v>
      </c>
      <c r="K36" s="3">
        <v>1</v>
      </c>
      <c r="L36" s="38">
        <v>172</v>
      </c>
      <c r="M36" s="2" t="s">
        <v>29</v>
      </c>
      <c r="N36" s="13" t="s">
        <v>26</v>
      </c>
      <c r="O36" s="27" t="str">
        <f>_xlfn.XLOOKUP(tbl_sale[[#This Row],[Customer ID]],CustomerMaster!A:A,CustomerMaster!B:B,"NA",0)</f>
        <v>Luke Gray</v>
      </c>
      <c r="P36" s="27" t="str">
        <f>_xlfn.XLOOKUP(tbl_sale[[#This Row],[Product ID]],ProductMaster!$A$2:$A$23,ProductMaster!$B$2:$B$23,"NA",0)</f>
        <v>Headphones</v>
      </c>
      <c r="Q36" s="27" t="str">
        <f>_xlfn.XLOOKUP(tbl_sale[[#This Row],[Product ID]],ProductMaster!$A$2:$A$23,ProductMaster!$C$2:$C$23,"NA",0)</f>
        <v>Electronics</v>
      </c>
      <c r="R36" s="27" t="str">
        <f>IFERROR(IF(tbl_sale[[#This Row],[Delivery Date]]="","Pending",IF(tbl_sale[[#This Row],[Delivery Date]]-tbl_sale[[#This Row],[Order Date]]&lt;= 2,"Fast","Slow")),"Error")</f>
        <v>Slow</v>
      </c>
      <c r="S36" s="27">
        <f>_xlfn.XLOOKUP(tbl_sale[[#This Row],[Region]],RegionGoals!$A$2:$A$6,RegionGoals!$B$2:$B$6, ,0)</f>
        <v>91500</v>
      </c>
      <c r="T36" s="27" t="str">
        <f>_xlfn.XLOOKUP(tbl_sale[[#This Row],[Customer ID]],CustomerMaster!$A:$A,CustomerMaster!$C:$C,"NA",0)</f>
        <v>Business</v>
      </c>
      <c r="U36" s="27">
        <f>IF(tbl_sale[[#This Row],[Delivery Status]]="Cancelled",1,0)</f>
        <v>0</v>
      </c>
      <c r="V36" s="27">
        <f>IF(tbl_sale[[#This Row],[Order ID]]&lt;&gt;"",1,0)</f>
        <v>1</v>
      </c>
      <c r="W36" s="27">
        <f>IF(AND(tbl_sale[[#This Row],[Delivery Status]]="Delivered",tbl_sale[[#This Row],[Delivery Performance]]="Fast"),1,0)</f>
        <v>0</v>
      </c>
      <c r="X36" s="27">
        <f>IF(tbl_sale[[#This Row],[Delivery Status]]="Delivered",1,0)</f>
        <v>1</v>
      </c>
    </row>
    <row r="37" spans="1:24" ht="18" customHeight="1" x14ac:dyDescent="0.3">
      <c r="A37" s="12" t="s">
        <v>106</v>
      </c>
      <c r="B37" s="23">
        <v>45130</v>
      </c>
      <c r="C37" s="23"/>
      <c r="D37" s="23"/>
      <c r="E37" s="23" t="str">
        <f>TEXT(tbl_sale[[#This Row],[Order Date]],"MMM")</f>
        <v>Jul</v>
      </c>
      <c r="F37" s="23" t="str">
        <f t="shared" si="0"/>
        <v>In Transit</v>
      </c>
      <c r="G37" s="2" t="s">
        <v>97</v>
      </c>
      <c r="H37" s="2" t="s">
        <v>107</v>
      </c>
      <c r="I37" s="2" t="s">
        <v>15</v>
      </c>
      <c r="J37" s="34">
        <v>212</v>
      </c>
      <c r="K37" s="3">
        <v>3</v>
      </c>
      <c r="L37" s="38">
        <v>636</v>
      </c>
      <c r="M37" s="2" t="s">
        <v>37</v>
      </c>
      <c r="N37" s="13" t="s">
        <v>30</v>
      </c>
      <c r="O37" s="27" t="str">
        <f>_xlfn.XLOOKUP(tbl_sale[[#This Row],[Customer ID]],CustomerMaster!A:A,CustomerMaster!B:B,"NA",0)</f>
        <v>Harper Young</v>
      </c>
      <c r="P37" s="27" t="str">
        <f>_xlfn.XLOOKUP(tbl_sale[[#This Row],[Product ID]],ProductMaster!$A$2:$A$23,ProductMaster!$B$2:$B$23,"NA",0)</f>
        <v>Cookware Set Pro</v>
      </c>
      <c r="Q37" s="27" t="str">
        <f>_xlfn.XLOOKUP(tbl_sale[[#This Row],[Product ID]],ProductMaster!$A$2:$A$23,ProductMaster!$C$2:$C$23,"NA",0)</f>
        <v>Home</v>
      </c>
      <c r="R37" s="27" t="str">
        <f>IFERROR(IF(tbl_sale[[#This Row],[Delivery Date]]="","Pending",IF(tbl_sale[[#This Row],[Delivery Date]]-tbl_sale[[#This Row],[Order Date]]&lt;= 2,"Fast","Slow")),"Error")</f>
        <v>Pending</v>
      </c>
      <c r="S37" s="27">
        <f>_xlfn.XLOOKUP(tbl_sale[[#This Row],[Region]],RegionGoals!$A$2:$A$6,RegionGoals!$B$2:$B$6, ,0)</f>
        <v>105000</v>
      </c>
      <c r="T37" s="27" t="str">
        <f>_xlfn.XLOOKUP(tbl_sale[[#This Row],[Customer ID]],CustomerMaster!$A:$A,CustomerMaster!$C:$C,"NA",0)</f>
        <v>Individual</v>
      </c>
      <c r="U37" s="27">
        <f>IF(tbl_sale[[#This Row],[Delivery Status]]="Cancelled",1,0)</f>
        <v>0</v>
      </c>
      <c r="V37" s="27">
        <f>IF(tbl_sale[[#This Row],[Order ID]]&lt;&gt;"",1,0)</f>
        <v>1</v>
      </c>
      <c r="W37" s="27">
        <f>IF(AND(tbl_sale[[#This Row],[Delivery Status]]="Delivered",tbl_sale[[#This Row],[Delivery Performance]]="Fast"),1,0)</f>
        <v>0</v>
      </c>
      <c r="X37" s="27">
        <f>IF(tbl_sale[[#This Row],[Delivery Status]]="Delivered",1,0)</f>
        <v>0</v>
      </c>
    </row>
    <row r="38" spans="1:24" ht="18" customHeight="1" x14ac:dyDescent="0.3">
      <c r="A38" s="12" t="s">
        <v>108</v>
      </c>
      <c r="B38" s="23">
        <v>45216</v>
      </c>
      <c r="C38" s="23">
        <v>45221</v>
      </c>
      <c r="D38" s="23"/>
      <c r="E38" s="23" t="str">
        <f>TEXT(tbl_sale[[#This Row],[Order Date]],"MMM")</f>
        <v>Oct</v>
      </c>
      <c r="F38" s="23" t="str">
        <f t="shared" si="0"/>
        <v>Delivered</v>
      </c>
      <c r="G38" s="2" t="s">
        <v>28</v>
      </c>
      <c r="H38" s="2" t="s">
        <v>86</v>
      </c>
      <c r="I38" s="2" t="s">
        <v>21</v>
      </c>
      <c r="J38" s="34">
        <v>41</v>
      </c>
      <c r="K38" s="3">
        <v>4</v>
      </c>
      <c r="L38" s="38">
        <v>164</v>
      </c>
      <c r="M38" s="2" t="s">
        <v>22</v>
      </c>
      <c r="N38" s="13" t="s">
        <v>34</v>
      </c>
      <c r="O38" s="27" t="str">
        <f>_xlfn.XLOOKUP(tbl_sale[[#This Row],[Customer ID]],CustomerMaster!A:A,CustomerMaster!B:B,"NA",0)</f>
        <v>Grace Ward</v>
      </c>
      <c r="P38" s="27" t="str">
        <f>_xlfn.XLOOKUP(tbl_sale[[#This Row],[Product ID]],ProductMaster!$A$2:$A$23,ProductMaster!$B$2:$B$23,"NA",0)</f>
        <v>Action Figure</v>
      </c>
      <c r="Q38" s="27" t="str">
        <f>_xlfn.XLOOKUP(tbl_sale[[#This Row],[Product ID]],ProductMaster!$A$2:$A$23,ProductMaster!$C$2:$C$23,"NA",0)</f>
        <v>Toys</v>
      </c>
      <c r="R38" s="27" t="str">
        <f>IFERROR(IF(tbl_sale[[#This Row],[Delivery Date]]="","Pending",IF(tbl_sale[[#This Row],[Delivery Date]]-tbl_sale[[#This Row],[Order Date]]&lt;= 2,"Fast","Slow")),"Error")</f>
        <v>Slow</v>
      </c>
      <c r="S38" s="27">
        <f>_xlfn.XLOOKUP(tbl_sale[[#This Row],[Region]],RegionGoals!$A$2:$A$6,RegionGoals!$B$2:$B$6, ,0)</f>
        <v>50500</v>
      </c>
      <c r="T38" s="27" t="str">
        <f>_xlfn.XLOOKUP(tbl_sale[[#This Row],[Customer ID]],CustomerMaster!$A:$A,CustomerMaster!$C:$C,"NA",0)</f>
        <v>Business</v>
      </c>
      <c r="U38" s="27">
        <f>IF(tbl_sale[[#This Row],[Delivery Status]]="Cancelled",1,0)</f>
        <v>0</v>
      </c>
      <c r="V38" s="27">
        <f>IF(tbl_sale[[#This Row],[Order ID]]&lt;&gt;"",1,0)</f>
        <v>1</v>
      </c>
      <c r="W38" s="27">
        <f>IF(AND(tbl_sale[[#This Row],[Delivery Status]]="Delivered",tbl_sale[[#This Row],[Delivery Performance]]="Fast"),1,0)</f>
        <v>0</v>
      </c>
      <c r="X38" s="27">
        <f>IF(tbl_sale[[#This Row],[Delivery Status]]="Delivered",1,0)</f>
        <v>1</v>
      </c>
    </row>
    <row r="39" spans="1:24" ht="18" customHeight="1" x14ac:dyDescent="0.3">
      <c r="A39" s="12" t="s">
        <v>109</v>
      </c>
      <c r="B39" s="23">
        <v>45160</v>
      </c>
      <c r="C39" s="23"/>
      <c r="D39" s="23">
        <v>45162</v>
      </c>
      <c r="E39" s="23" t="str">
        <f>TEXT(tbl_sale[[#This Row],[Order Date]],"MMM")</f>
        <v>Aug</v>
      </c>
      <c r="F39" s="23" t="str">
        <f t="shared" si="0"/>
        <v>Cancelled</v>
      </c>
      <c r="G39" s="2" t="s">
        <v>83</v>
      </c>
      <c r="H39" s="2" t="s">
        <v>110</v>
      </c>
      <c r="I39" s="2" t="s">
        <v>15</v>
      </c>
      <c r="J39" s="34">
        <v>32</v>
      </c>
      <c r="K39" s="3">
        <v>2</v>
      </c>
      <c r="L39" s="38">
        <v>64</v>
      </c>
      <c r="M39" s="2" t="s">
        <v>42</v>
      </c>
      <c r="N39" s="13" t="s">
        <v>57</v>
      </c>
      <c r="O39" s="27" t="str">
        <f>_xlfn.XLOOKUP(tbl_sale[[#This Row],[Customer ID]],CustomerMaster!A:A,CustomerMaster!B:B,"NA",0)</f>
        <v>Lily Bennett</v>
      </c>
      <c r="P39" s="27" t="str">
        <f>_xlfn.XLOOKUP(tbl_sale[[#This Row],[Product ID]],ProductMaster!$A$2:$A$23,ProductMaster!$B$2:$B$23,"NA",0)</f>
        <v>Puzzle</v>
      </c>
      <c r="Q39" s="27" t="str">
        <f>_xlfn.XLOOKUP(tbl_sale[[#This Row],[Product ID]],ProductMaster!$A$2:$A$23,ProductMaster!$C$2:$C$23,"NA",0)</f>
        <v>Toys</v>
      </c>
      <c r="R39" s="27" t="str">
        <f>IFERROR(IF(tbl_sale[[#This Row],[Delivery Date]]="","Pending",IF(tbl_sale[[#This Row],[Delivery Date]]-tbl_sale[[#This Row],[Order Date]]&lt;= 2,"Fast","Slow")),"Error")</f>
        <v>Pending</v>
      </c>
      <c r="S39" s="27">
        <f>_xlfn.XLOOKUP(tbl_sale[[#This Row],[Region]],RegionGoals!$A$2:$A$6,RegionGoals!$B$2:$B$6, ,0)</f>
        <v>105000</v>
      </c>
      <c r="T39" s="27" t="str">
        <f>_xlfn.XLOOKUP(tbl_sale[[#This Row],[Customer ID]],CustomerMaster!$A:$A,CustomerMaster!$C:$C,"NA",0)</f>
        <v>Business</v>
      </c>
      <c r="U39" s="27">
        <f>IF(tbl_sale[[#This Row],[Delivery Status]]="Cancelled",1,0)</f>
        <v>1</v>
      </c>
      <c r="V39" s="27">
        <f>IF(tbl_sale[[#This Row],[Order ID]]&lt;&gt;"",1,0)</f>
        <v>1</v>
      </c>
      <c r="W39" s="27">
        <f>IF(AND(tbl_sale[[#This Row],[Delivery Status]]="Delivered",tbl_sale[[#This Row],[Delivery Performance]]="Fast"),1,0)</f>
        <v>0</v>
      </c>
      <c r="X39" s="27">
        <f>IF(tbl_sale[[#This Row],[Delivery Status]]="Delivered",1,0)</f>
        <v>0</v>
      </c>
    </row>
    <row r="40" spans="1:24" ht="18" customHeight="1" x14ac:dyDescent="0.3">
      <c r="A40" s="12" t="s">
        <v>111</v>
      </c>
      <c r="B40" s="23">
        <v>45262</v>
      </c>
      <c r="C40" s="23"/>
      <c r="D40" s="23"/>
      <c r="E40" s="23" t="str">
        <f>TEXT(tbl_sale[[#This Row],[Order Date]],"MMM")</f>
        <v>Dec</v>
      </c>
      <c r="F40" s="23" t="str">
        <f t="shared" si="0"/>
        <v>In Transit</v>
      </c>
      <c r="G40" s="2" t="s">
        <v>112</v>
      </c>
      <c r="H40" s="2" t="s">
        <v>88</v>
      </c>
      <c r="I40" s="2" t="s">
        <v>21</v>
      </c>
      <c r="J40" s="34">
        <v>66</v>
      </c>
      <c r="K40" s="3">
        <v>2</v>
      </c>
      <c r="L40" s="38">
        <v>132</v>
      </c>
      <c r="M40" s="2" t="s">
        <v>16</v>
      </c>
      <c r="N40" s="13" t="s">
        <v>17</v>
      </c>
      <c r="O40" s="27" t="str">
        <f>_xlfn.XLOOKUP(tbl_sale[[#This Row],[Customer ID]],CustomerMaster!A:A,CustomerMaster!B:B,"NA",0)</f>
        <v>Scarlett Murphy</v>
      </c>
      <c r="P40" s="27" t="str">
        <f>_xlfn.XLOOKUP(tbl_sale[[#This Row],[Product ID]],ProductMaster!$A$2:$A$23,ProductMaster!$B$2:$B$23,"NA",0)</f>
        <v>Backpack</v>
      </c>
      <c r="Q40" s="27" t="str">
        <f>_xlfn.XLOOKUP(tbl_sale[[#This Row],[Product ID]],ProductMaster!$A$2:$A$23,ProductMaster!$C$2:$C$23,"NA",0)</f>
        <v>Fashion</v>
      </c>
      <c r="R40" s="27" t="str">
        <f>IFERROR(IF(tbl_sale[[#This Row],[Delivery Date]]="","Pending",IF(tbl_sale[[#This Row],[Delivery Date]]-tbl_sale[[#This Row],[Order Date]]&lt;= 2,"Fast","Slow")),"Error")</f>
        <v>Pending</v>
      </c>
      <c r="S40" s="27">
        <f>_xlfn.XLOOKUP(tbl_sale[[#This Row],[Region]],RegionGoals!$A$2:$A$6,RegionGoals!$B$2:$B$6, ,0)</f>
        <v>50500</v>
      </c>
      <c r="T40" s="27" t="str">
        <f>_xlfn.XLOOKUP(tbl_sale[[#This Row],[Customer ID]],CustomerMaster!$A:$A,CustomerMaster!$C:$C,"NA",0)</f>
        <v>Business</v>
      </c>
      <c r="U40" s="27">
        <f>IF(tbl_sale[[#This Row],[Delivery Status]]="Cancelled",1,0)</f>
        <v>0</v>
      </c>
      <c r="V40" s="27">
        <f>IF(tbl_sale[[#This Row],[Order ID]]&lt;&gt;"",1,0)</f>
        <v>1</v>
      </c>
      <c r="W40" s="27">
        <f>IF(AND(tbl_sale[[#This Row],[Delivery Status]]="Delivered",tbl_sale[[#This Row],[Delivery Performance]]="Fast"),1,0)</f>
        <v>0</v>
      </c>
      <c r="X40" s="27">
        <f>IF(tbl_sale[[#This Row],[Delivery Status]]="Delivered",1,0)</f>
        <v>0</v>
      </c>
    </row>
    <row r="41" spans="1:24" ht="18" customHeight="1" x14ac:dyDescent="0.3">
      <c r="A41" s="12" t="s">
        <v>113</v>
      </c>
      <c r="B41" s="23">
        <v>45285</v>
      </c>
      <c r="C41" s="23"/>
      <c r="D41" s="23"/>
      <c r="E41" s="23" t="str">
        <f>TEXT(tbl_sale[[#This Row],[Order Date]],"MMM")</f>
        <v>Dec</v>
      </c>
      <c r="F41" s="23" t="str">
        <f t="shared" si="0"/>
        <v>In Transit</v>
      </c>
      <c r="G41" s="2" t="s">
        <v>114</v>
      </c>
      <c r="H41" s="2" t="s">
        <v>115</v>
      </c>
      <c r="I41" s="2" t="s">
        <v>21</v>
      </c>
      <c r="J41" s="34">
        <v>62</v>
      </c>
      <c r="K41" s="3">
        <v>4</v>
      </c>
      <c r="L41" s="38">
        <v>248</v>
      </c>
      <c r="M41" s="2" t="s">
        <v>42</v>
      </c>
      <c r="N41" s="13" t="s">
        <v>30</v>
      </c>
      <c r="O41" s="27" t="str">
        <f>_xlfn.XLOOKUP(tbl_sale[[#This Row],[Customer ID]],CustomerMaster!A:A,CustomerMaster!B:B,"NA",0)</f>
        <v>Ava Robinson</v>
      </c>
      <c r="P41" s="27" t="str">
        <f>_xlfn.XLOOKUP(tbl_sale[[#This Row],[Product ID]],ProductMaster!$A$2:$A$23,ProductMaster!$B$2:$B$23,"NA",0)</f>
        <v>Leg Set</v>
      </c>
      <c r="Q41" s="27" t="str">
        <f>_xlfn.XLOOKUP(tbl_sale[[#This Row],[Product ID]],ProductMaster!$A$2:$A$23,ProductMaster!$C$2:$C$23,"NA",0)</f>
        <v>Toys</v>
      </c>
      <c r="R41" s="27" t="str">
        <f>IFERROR(IF(tbl_sale[[#This Row],[Delivery Date]]="","Pending",IF(tbl_sale[[#This Row],[Delivery Date]]-tbl_sale[[#This Row],[Order Date]]&lt;= 2,"Fast","Slow")),"Error")</f>
        <v>Pending</v>
      </c>
      <c r="S41" s="27">
        <f>_xlfn.XLOOKUP(tbl_sale[[#This Row],[Region]],RegionGoals!$A$2:$A$6,RegionGoals!$B$2:$B$6, ,0)</f>
        <v>50500</v>
      </c>
      <c r="T41" s="27" t="str">
        <f>_xlfn.XLOOKUP(tbl_sale[[#This Row],[Customer ID]],CustomerMaster!$A:$A,CustomerMaster!$C:$C,"NA",0)</f>
        <v>Prime</v>
      </c>
      <c r="U41" s="27">
        <f>IF(tbl_sale[[#This Row],[Delivery Status]]="Cancelled",1,0)</f>
        <v>0</v>
      </c>
      <c r="V41" s="27">
        <f>IF(tbl_sale[[#This Row],[Order ID]]&lt;&gt;"",1,0)</f>
        <v>1</v>
      </c>
      <c r="W41" s="27">
        <f>IF(AND(tbl_sale[[#This Row],[Delivery Status]]="Delivered",tbl_sale[[#This Row],[Delivery Performance]]="Fast"),1,0)</f>
        <v>0</v>
      </c>
      <c r="X41" s="27">
        <f>IF(tbl_sale[[#This Row],[Delivery Status]]="Delivered",1,0)</f>
        <v>0</v>
      </c>
    </row>
    <row r="42" spans="1:24" ht="18" customHeight="1" x14ac:dyDescent="0.3">
      <c r="A42" s="12" t="s">
        <v>116</v>
      </c>
      <c r="B42" s="23">
        <v>45192</v>
      </c>
      <c r="C42" s="23">
        <v>45199</v>
      </c>
      <c r="D42" s="23"/>
      <c r="E42" s="23" t="str">
        <f>TEXT(tbl_sale[[#This Row],[Order Date]],"MMM")</f>
        <v>Sep</v>
      </c>
      <c r="F42" s="23" t="str">
        <f t="shared" si="0"/>
        <v>Delivered</v>
      </c>
      <c r="G42" s="2" t="s">
        <v>117</v>
      </c>
      <c r="H42" s="2" t="s">
        <v>105</v>
      </c>
      <c r="I42" s="2" t="s">
        <v>46</v>
      </c>
      <c r="J42" s="34">
        <v>173</v>
      </c>
      <c r="K42" s="3">
        <v>4</v>
      </c>
      <c r="L42" s="38">
        <v>692</v>
      </c>
      <c r="M42" s="2" t="s">
        <v>16</v>
      </c>
      <c r="N42" s="13" t="s">
        <v>30</v>
      </c>
      <c r="O42" s="27" t="str">
        <f>_xlfn.XLOOKUP(tbl_sale[[#This Row],[Customer ID]],CustomerMaster!A:A,CustomerMaster!B:B,"NA",0)</f>
        <v>James Miller</v>
      </c>
      <c r="P42" s="27" t="str">
        <f>_xlfn.XLOOKUP(tbl_sale[[#This Row],[Product ID]],ProductMaster!$A$2:$A$23,ProductMaster!$B$2:$B$23,"NA",0)</f>
        <v>Headphones</v>
      </c>
      <c r="Q42" s="27" t="str">
        <f>_xlfn.XLOOKUP(tbl_sale[[#This Row],[Product ID]],ProductMaster!$A$2:$A$23,ProductMaster!$C$2:$C$23,"NA",0)</f>
        <v>Electronics</v>
      </c>
      <c r="R42" s="27" t="str">
        <f>IFERROR(IF(tbl_sale[[#This Row],[Delivery Date]]="","Pending",IF(tbl_sale[[#This Row],[Delivery Date]]-tbl_sale[[#This Row],[Order Date]]&lt;= 2,"Fast","Slow")),"Error")</f>
        <v>Slow</v>
      </c>
      <c r="S42" s="27">
        <f>_xlfn.XLOOKUP(tbl_sale[[#This Row],[Region]],RegionGoals!$A$2:$A$6,RegionGoals!$B$2:$B$6, ,0)</f>
        <v>90750</v>
      </c>
      <c r="T42" s="27" t="str">
        <f>_xlfn.XLOOKUP(tbl_sale[[#This Row],[Customer ID]],CustomerMaster!$A:$A,CustomerMaster!$C:$C,"NA",0)</f>
        <v>Business</v>
      </c>
      <c r="U42" s="27">
        <f>IF(tbl_sale[[#This Row],[Delivery Status]]="Cancelled",1,0)</f>
        <v>0</v>
      </c>
      <c r="V42" s="27">
        <f>IF(tbl_sale[[#This Row],[Order ID]]&lt;&gt;"",1,0)</f>
        <v>1</v>
      </c>
      <c r="W42" s="27">
        <f>IF(AND(tbl_sale[[#This Row],[Delivery Status]]="Delivered",tbl_sale[[#This Row],[Delivery Performance]]="Fast"),1,0)</f>
        <v>0</v>
      </c>
      <c r="X42" s="27">
        <f>IF(tbl_sale[[#This Row],[Delivery Status]]="Delivered",1,0)</f>
        <v>1</v>
      </c>
    </row>
    <row r="43" spans="1:24" ht="18" customHeight="1" x14ac:dyDescent="0.3">
      <c r="A43" s="12" t="s">
        <v>118</v>
      </c>
      <c r="B43" s="23">
        <v>45123</v>
      </c>
      <c r="C43" s="23">
        <v>45125</v>
      </c>
      <c r="D43" s="23"/>
      <c r="E43" s="23" t="str">
        <f>TEXT(tbl_sale[[#This Row],[Order Date]],"MMM")</f>
        <v>Jul</v>
      </c>
      <c r="F43" s="23" t="str">
        <f t="shared" si="0"/>
        <v>Delivered</v>
      </c>
      <c r="G43" s="2" t="s">
        <v>93</v>
      </c>
      <c r="H43" s="2" t="s">
        <v>115</v>
      </c>
      <c r="I43" s="2" t="s">
        <v>46</v>
      </c>
      <c r="J43" s="34">
        <v>63</v>
      </c>
      <c r="K43" s="3">
        <v>3</v>
      </c>
      <c r="L43" s="38">
        <v>189</v>
      </c>
      <c r="M43" s="2" t="s">
        <v>16</v>
      </c>
      <c r="N43" s="13" t="s">
        <v>30</v>
      </c>
      <c r="O43" s="27" t="str">
        <f>_xlfn.XLOOKUP(tbl_sale[[#This Row],[Customer ID]],CustomerMaster!A:A,CustomerMaster!B:B,"NA",0)</f>
        <v>Liam Walker</v>
      </c>
      <c r="P43" s="27" t="str">
        <f>_xlfn.XLOOKUP(tbl_sale[[#This Row],[Product ID]],ProductMaster!$A$2:$A$23,ProductMaster!$B$2:$B$23,"NA",0)</f>
        <v>Leg Set</v>
      </c>
      <c r="Q43" s="27" t="str">
        <f>_xlfn.XLOOKUP(tbl_sale[[#This Row],[Product ID]],ProductMaster!$A$2:$A$23,ProductMaster!$C$2:$C$23,"NA",0)</f>
        <v>Toys</v>
      </c>
      <c r="R43" s="27" t="str">
        <f>IFERROR(IF(tbl_sale[[#This Row],[Delivery Date]]="","Pending",IF(tbl_sale[[#This Row],[Delivery Date]]-tbl_sale[[#This Row],[Order Date]]&lt;= 2,"Fast","Slow")),"Error")</f>
        <v>Fast</v>
      </c>
      <c r="S43" s="27">
        <f>_xlfn.XLOOKUP(tbl_sale[[#This Row],[Region]],RegionGoals!$A$2:$A$6,RegionGoals!$B$2:$B$6, ,0)</f>
        <v>90750</v>
      </c>
      <c r="T43" s="27" t="str">
        <f>_xlfn.XLOOKUP(tbl_sale[[#This Row],[Customer ID]],CustomerMaster!$A:$A,CustomerMaster!$C:$C,"NA",0)</f>
        <v>Prime</v>
      </c>
      <c r="U43" s="27">
        <f>IF(tbl_sale[[#This Row],[Delivery Status]]="Cancelled",1,0)</f>
        <v>0</v>
      </c>
      <c r="V43" s="27">
        <f>IF(tbl_sale[[#This Row],[Order ID]]&lt;&gt;"",1,0)</f>
        <v>1</v>
      </c>
      <c r="W43" s="27">
        <f>IF(AND(tbl_sale[[#This Row],[Delivery Status]]="Delivered",tbl_sale[[#This Row],[Delivery Performance]]="Fast"),1,0)</f>
        <v>1</v>
      </c>
      <c r="X43" s="27">
        <f>IF(tbl_sale[[#This Row],[Delivery Status]]="Delivered",1,0)</f>
        <v>1</v>
      </c>
    </row>
    <row r="44" spans="1:24" ht="18" customHeight="1" x14ac:dyDescent="0.3">
      <c r="A44" s="12" t="s">
        <v>119</v>
      </c>
      <c r="B44" s="23">
        <v>44962</v>
      </c>
      <c r="C44" s="23"/>
      <c r="D44" s="23">
        <v>44968</v>
      </c>
      <c r="E44" s="23" t="str">
        <f>TEXT(tbl_sale[[#This Row],[Order Date]],"MMM")</f>
        <v>Feb</v>
      </c>
      <c r="F44" s="23" t="str">
        <f t="shared" si="0"/>
        <v>Cancelled</v>
      </c>
      <c r="G44" s="2" t="s">
        <v>85</v>
      </c>
      <c r="H44" s="2" t="s">
        <v>45</v>
      </c>
      <c r="I44" s="2" t="s">
        <v>46</v>
      </c>
      <c r="J44" s="34">
        <v>36</v>
      </c>
      <c r="K44" s="3">
        <v>3</v>
      </c>
      <c r="L44" s="38">
        <v>108</v>
      </c>
      <c r="M44" s="2" t="s">
        <v>42</v>
      </c>
      <c r="N44" s="13" t="s">
        <v>26</v>
      </c>
      <c r="O44" s="27" t="str">
        <f>_xlfn.XLOOKUP(tbl_sale[[#This Row],[Customer ID]],CustomerMaster!A:A,CustomerMaster!B:B,"NA",0)</f>
        <v>Benjamin Clark</v>
      </c>
      <c r="P44" s="27" t="str">
        <f>_xlfn.XLOOKUP(tbl_sale[[#This Row],[Product ID]],ProductMaster!$A$2:$A$23,ProductMaster!$B$2:$B$23,"NA",0)</f>
        <v>Wall Clock</v>
      </c>
      <c r="Q44" s="27" t="str">
        <f>_xlfn.XLOOKUP(tbl_sale[[#This Row],[Product ID]],ProductMaster!$A$2:$A$23,ProductMaster!$C$2:$C$23,"NA",0)</f>
        <v>Home</v>
      </c>
      <c r="R44" s="27" t="str">
        <f>IFERROR(IF(tbl_sale[[#This Row],[Delivery Date]]="","Pending",IF(tbl_sale[[#This Row],[Delivery Date]]-tbl_sale[[#This Row],[Order Date]]&lt;= 2,"Fast","Slow")),"Error")</f>
        <v>Pending</v>
      </c>
      <c r="S44" s="27">
        <f>_xlfn.XLOOKUP(tbl_sale[[#This Row],[Region]],RegionGoals!$A$2:$A$6,RegionGoals!$B$2:$B$6, ,0)</f>
        <v>90750</v>
      </c>
      <c r="T44" s="27" t="str">
        <f>_xlfn.XLOOKUP(tbl_sale[[#This Row],[Customer ID]],CustomerMaster!$A:$A,CustomerMaster!$C:$C,"NA",0)</f>
        <v>Prime</v>
      </c>
      <c r="U44" s="27">
        <f>IF(tbl_sale[[#This Row],[Delivery Status]]="Cancelled",1,0)</f>
        <v>1</v>
      </c>
      <c r="V44" s="27">
        <f>IF(tbl_sale[[#This Row],[Order ID]]&lt;&gt;"",1,0)</f>
        <v>1</v>
      </c>
      <c r="W44" s="27">
        <f>IF(AND(tbl_sale[[#This Row],[Delivery Status]]="Delivered",tbl_sale[[#This Row],[Delivery Performance]]="Fast"),1,0)</f>
        <v>0</v>
      </c>
      <c r="X44" s="27">
        <f>IF(tbl_sale[[#This Row],[Delivery Status]]="Delivered",1,0)</f>
        <v>0</v>
      </c>
    </row>
    <row r="45" spans="1:24" ht="18" customHeight="1" x14ac:dyDescent="0.3">
      <c r="A45" s="12" t="s">
        <v>120</v>
      </c>
      <c r="B45" s="23">
        <v>45278</v>
      </c>
      <c r="C45" s="23"/>
      <c r="D45" s="23">
        <v>45283</v>
      </c>
      <c r="E45" s="23" t="str">
        <f>TEXT(tbl_sale[[#This Row],[Order Date]],"MMM")</f>
        <v>Dec</v>
      </c>
      <c r="F45" s="23" t="str">
        <f t="shared" si="0"/>
        <v>Cancelled</v>
      </c>
      <c r="G45" s="2" t="s">
        <v>114</v>
      </c>
      <c r="H45" s="2" t="s">
        <v>115</v>
      </c>
      <c r="I45" s="2" t="s">
        <v>41</v>
      </c>
      <c r="J45" s="34">
        <v>62</v>
      </c>
      <c r="K45" s="3">
        <v>1</v>
      </c>
      <c r="L45" s="38">
        <v>62</v>
      </c>
      <c r="M45" s="2" t="s">
        <v>16</v>
      </c>
      <c r="N45" s="13" t="s">
        <v>34</v>
      </c>
      <c r="O45" s="27" t="str">
        <f>_xlfn.XLOOKUP(tbl_sale[[#This Row],[Customer ID]],CustomerMaster!A:A,CustomerMaster!B:B,"NA",0)</f>
        <v>Ava Robinson</v>
      </c>
      <c r="P45" s="27" t="str">
        <f>_xlfn.XLOOKUP(tbl_sale[[#This Row],[Product ID]],ProductMaster!$A$2:$A$23,ProductMaster!$B$2:$B$23,"NA",0)</f>
        <v>Leg Set</v>
      </c>
      <c r="Q45" s="27" t="str">
        <f>_xlfn.XLOOKUP(tbl_sale[[#This Row],[Product ID]],ProductMaster!$A$2:$A$23,ProductMaster!$C$2:$C$23,"NA",0)</f>
        <v>Toys</v>
      </c>
      <c r="R45" s="27" t="str">
        <f>IFERROR(IF(tbl_sale[[#This Row],[Delivery Date]]="","Pending",IF(tbl_sale[[#This Row],[Delivery Date]]-tbl_sale[[#This Row],[Order Date]]&lt;= 2,"Fast","Slow")),"Error")</f>
        <v>Pending</v>
      </c>
      <c r="S45" s="27">
        <f>_xlfn.XLOOKUP(tbl_sale[[#This Row],[Region]],RegionGoals!$A$2:$A$6,RegionGoals!$B$2:$B$6, ,0)</f>
        <v>97500</v>
      </c>
      <c r="T45" s="27" t="str">
        <f>_xlfn.XLOOKUP(tbl_sale[[#This Row],[Customer ID]],CustomerMaster!$A:$A,CustomerMaster!$C:$C,"NA",0)</f>
        <v>Prime</v>
      </c>
      <c r="U45" s="27">
        <f>IF(tbl_sale[[#This Row],[Delivery Status]]="Cancelled",1,0)</f>
        <v>1</v>
      </c>
      <c r="V45" s="27">
        <f>IF(tbl_sale[[#This Row],[Order ID]]&lt;&gt;"",1,0)</f>
        <v>1</v>
      </c>
      <c r="W45" s="27">
        <f>IF(AND(tbl_sale[[#This Row],[Delivery Status]]="Delivered",tbl_sale[[#This Row],[Delivery Performance]]="Fast"),1,0)</f>
        <v>0</v>
      </c>
      <c r="X45" s="27">
        <f>IF(tbl_sale[[#This Row],[Delivery Status]]="Delivered",1,0)</f>
        <v>0</v>
      </c>
    </row>
    <row r="46" spans="1:24" ht="18" customHeight="1" x14ac:dyDescent="0.3">
      <c r="A46" s="12" t="s">
        <v>121</v>
      </c>
      <c r="B46" s="23">
        <v>45088</v>
      </c>
      <c r="C46" s="23"/>
      <c r="D46" s="23">
        <v>45091</v>
      </c>
      <c r="E46" s="23" t="str">
        <f>TEXT(tbl_sale[[#This Row],[Order Date]],"MMM")</f>
        <v>Jun</v>
      </c>
      <c r="F46" s="23" t="str">
        <f t="shared" si="0"/>
        <v>Cancelled</v>
      </c>
      <c r="G46" s="2" t="s">
        <v>39</v>
      </c>
      <c r="H46" s="2" t="s">
        <v>51</v>
      </c>
      <c r="I46" s="2" t="s">
        <v>41</v>
      </c>
      <c r="J46" s="34">
        <v>137</v>
      </c>
      <c r="K46" s="3">
        <v>5</v>
      </c>
      <c r="L46" s="38">
        <v>685</v>
      </c>
      <c r="M46" s="2" t="s">
        <v>37</v>
      </c>
      <c r="N46" s="13" t="s">
        <v>57</v>
      </c>
      <c r="O46" s="27" t="str">
        <f>_xlfn.XLOOKUP(tbl_sale[[#This Row],[Customer ID]],CustomerMaster!A:A,CustomerMaster!B:B,"NA",0)</f>
        <v>Noah Wilson</v>
      </c>
      <c r="P46" s="27" t="str">
        <f>_xlfn.XLOOKUP(tbl_sale[[#This Row],[Product ID]],ProductMaster!$A$2:$A$23,ProductMaster!$B$2:$B$23,"NA",0)</f>
        <v>Cookware Set</v>
      </c>
      <c r="Q46" s="27" t="str">
        <f>_xlfn.XLOOKUP(tbl_sale[[#This Row],[Product ID]],ProductMaster!$A$2:$A$23,ProductMaster!$C$2:$C$23,"NA",0)</f>
        <v>Home</v>
      </c>
      <c r="R46" s="27" t="str">
        <f>IFERROR(IF(tbl_sale[[#This Row],[Delivery Date]]="","Pending",IF(tbl_sale[[#This Row],[Delivery Date]]-tbl_sale[[#This Row],[Order Date]]&lt;= 2,"Fast","Slow")),"Error")</f>
        <v>Pending</v>
      </c>
      <c r="S46" s="27">
        <f>_xlfn.XLOOKUP(tbl_sale[[#This Row],[Region]],RegionGoals!$A$2:$A$6,RegionGoals!$B$2:$B$6, ,0)</f>
        <v>97500</v>
      </c>
      <c r="T46" s="27" t="str">
        <f>_xlfn.XLOOKUP(tbl_sale[[#This Row],[Customer ID]],CustomerMaster!$A:$A,CustomerMaster!$C:$C,"NA",0)</f>
        <v>Prime</v>
      </c>
      <c r="U46" s="27">
        <f>IF(tbl_sale[[#This Row],[Delivery Status]]="Cancelled",1,0)</f>
        <v>1</v>
      </c>
      <c r="V46" s="27">
        <f>IF(tbl_sale[[#This Row],[Order ID]]&lt;&gt;"",1,0)</f>
        <v>1</v>
      </c>
      <c r="W46" s="27">
        <f>IF(AND(tbl_sale[[#This Row],[Delivery Status]]="Delivered",tbl_sale[[#This Row],[Delivery Performance]]="Fast"),1,0)</f>
        <v>0</v>
      </c>
      <c r="X46" s="27">
        <f>IF(tbl_sale[[#This Row],[Delivery Status]]="Delivered",1,0)</f>
        <v>0</v>
      </c>
    </row>
    <row r="47" spans="1:24" ht="18" customHeight="1" x14ac:dyDescent="0.3">
      <c r="A47" s="12" t="s">
        <v>122</v>
      </c>
      <c r="B47" s="23">
        <v>45264</v>
      </c>
      <c r="C47" s="23">
        <v>45268</v>
      </c>
      <c r="D47" s="23"/>
      <c r="E47" s="23" t="str">
        <f>TEXT(tbl_sale[[#This Row],[Order Date]],"MMM")</f>
        <v>Dec</v>
      </c>
      <c r="F47" s="23" t="str">
        <f t="shared" si="0"/>
        <v>Delivered</v>
      </c>
      <c r="G47" s="2" t="s">
        <v>123</v>
      </c>
      <c r="H47" s="2" t="s">
        <v>63</v>
      </c>
      <c r="I47" s="2" t="s">
        <v>15</v>
      </c>
      <c r="J47" s="34">
        <v>73</v>
      </c>
      <c r="K47" s="3">
        <v>4</v>
      </c>
      <c r="L47" s="38">
        <v>292</v>
      </c>
      <c r="M47" s="2" t="s">
        <v>22</v>
      </c>
      <c r="N47" s="13" t="s">
        <v>34</v>
      </c>
      <c r="O47" s="27" t="str">
        <f>_xlfn.XLOOKUP(tbl_sale[[#This Row],[Customer ID]],CustomerMaster!A:A,CustomerMaster!B:B,"NA",0)</f>
        <v>Logan Ramirez</v>
      </c>
      <c r="P47" s="27" t="str">
        <f>_xlfn.XLOOKUP(tbl_sale[[#This Row],[Product ID]],ProductMaster!$A$2:$A$23,ProductMaster!$B$2:$B$23,"NA",0)</f>
        <v>Gaming Mouse</v>
      </c>
      <c r="Q47" s="27" t="str">
        <f>_xlfn.XLOOKUP(tbl_sale[[#This Row],[Product ID]],ProductMaster!$A$2:$A$23,ProductMaster!$C$2:$C$23,"NA",0)</f>
        <v>Electronics</v>
      </c>
      <c r="R47" s="27" t="str">
        <f>IFERROR(IF(tbl_sale[[#This Row],[Delivery Date]]="","Pending",IF(tbl_sale[[#This Row],[Delivery Date]]-tbl_sale[[#This Row],[Order Date]]&lt;= 2,"Fast","Slow")),"Error")</f>
        <v>Slow</v>
      </c>
      <c r="S47" s="27">
        <f>_xlfn.XLOOKUP(tbl_sale[[#This Row],[Region]],RegionGoals!$A$2:$A$6,RegionGoals!$B$2:$B$6, ,0)</f>
        <v>105000</v>
      </c>
      <c r="T47" s="27" t="str">
        <f>_xlfn.XLOOKUP(tbl_sale[[#This Row],[Customer ID]],CustomerMaster!$A:$A,CustomerMaster!$C:$C,"NA",0)</f>
        <v>Individual</v>
      </c>
      <c r="U47" s="27">
        <f>IF(tbl_sale[[#This Row],[Delivery Status]]="Cancelled",1,0)</f>
        <v>0</v>
      </c>
      <c r="V47" s="27">
        <f>IF(tbl_sale[[#This Row],[Order ID]]&lt;&gt;"",1,0)</f>
        <v>1</v>
      </c>
      <c r="W47" s="27">
        <f>IF(AND(tbl_sale[[#This Row],[Delivery Status]]="Delivered",tbl_sale[[#This Row],[Delivery Performance]]="Fast"),1,0)</f>
        <v>0</v>
      </c>
      <c r="X47" s="27">
        <f>IF(tbl_sale[[#This Row],[Delivery Status]]="Delivered",1,0)</f>
        <v>1</v>
      </c>
    </row>
    <row r="48" spans="1:24" ht="18" customHeight="1" x14ac:dyDescent="0.3">
      <c r="A48" s="12" t="s">
        <v>124</v>
      </c>
      <c r="B48" s="23">
        <v>45124</v>
      </c>
      <c r="C48" s="23">
        <v>45126</v>
      </c>
      <c r="D48" s="23"/>
      <c r="E48" s="23" t="str">
        <f>TEXT(tbl_sale[[#This Row],[Order Date]],"MMM")</f>
        <v>Jul</v>
      </c>
      <c r="F48" s="23" t="str">
        <f t="shared" si="0"/>
        <v>Delivered</v>
      </c>
      <c r="G48" s="2" t="s">
        <v>74</v>
      </c>
      <c r="H48" s="2" t="s">
        <v>40</v>
      </c>
      <c r="I48" s="2" t="s">
        <v>15</v>
      </c>
      <c r="J48" s="34">
        <v>104</v>
      </c>
      <c r="K48" s="3">
        <v>1</v>
      </c>
      <c r="L48" s="38">
        <v>104</v>
      </c>
      <c r="M48" s="2" t="s">
        <v>29</v>
      </c>
      <c r="N48" s="13" t="s">
        <v>34</v>
      </c>
      <c r="O48" s="27" t="str">
        <f>_xlfn.XLOOKUP(tbl_sale[[#This Row],[Customer ID]],CustomerMaster!A:A,CustomerMaster!B:B,"NA",0)</f>
        <v>Jacob Price</v>
      </c>
      <c r="P48" s="27" t="str">
        <f>_xlfn.XLOOKUP(tbl_sale[[#This Row],[Product ID]],ProductMaster!$A$2:$A$23,ProductMaster!$B$2:$B$23,"NA",0)</f>
        <v>Bluetooth Speaker</v>
      </c>
      <c r="Q48" s="27" t="str">
        <f>_xlfn.XLOOKUP(tbl_sale[[#This Row],[Product ID]],ProductMaster!$A$2:$A$23,ProductMaster!$C$2:$C$23,"NA",0)</f>
        <v>Electronics</v>
      </c>
      <c r="R48" s="27" t="str">
        <f>IFERROR(IF(tbl_sale[[#This Row],[Delivery Date]]="","Pending",IF(tbl_sale[[#This Row],[Delivery Date]]-tbl_sale[[#This Row],[Order Date]]&lt;= 2,"Fast","Slow")),"Error")</f>
        <v>Fast</v>
      </c>
      <c r="S48" s="27">
        <f>_xlfn.XLOOKUP(tbl_sale[[#This Row],[Region]],RegionGoals!$A$2:$A$6,RegionGoals!$B$2:$B$6, ,0)</f>
        <v>105000</v>
      </c>
      <c r="T48" s="27" t="str">
        <f>_xlfn.XLOOKUP(tbl_sale[[#This Row],[Customer ID]],CustomerMaster!$A:$A,CustomerMaster!$C:$C,"NA",0)</f>
        <v>Business</v>
      </c>
      <c r="U48" s="27">
        <f>IF(tbl_sale[[#This Row],[Delivery Status]]="Cancelled",1,0)</f>
        <v>0</v>
      </c>
      <c r="V48" s="27">
        <f>IF(tbl_sale[[#This Row],[Order ID]]&lt;&gt;"",1,0)</f>
        <v>1</v>
      </c>
      <c r="W48" s="27">
        <f>IF(AND(tbl_sale[[#This Row],[Delivery Status]]="Delivered",tbl_sale[[#This Row],[Delivery Performance]]="Fast"),1,0)</f>
        <v>1</v>
      </c>
      <c r="X48" s="27">
        <f>IF(tbl_sale[[#This Row],[Delivery Status]]="Delivered",1,0)</f>
        <v>1</v>
      </c>
    </row>
    <row r="49" spans="1:24" ht="18" customHeight="1" x14ac:dyDescent="0.3">
      <c r="A49" s="12" t="s">
        <v>125</v>
      </c>
      <c r="B49" s="23">
        <v>45218</v>
      </c>
      <c r="C49" s="23">
        <v>45223</v>
      </c>
      <c r="D49" s="23"/>
      <c r="E49" s="23" t="str">
        <f>TEXT(tbl_sale[[#This Row],[Order Date]],"MMM")</f>
        <v>Oct</v>
      </c>
      <c r="F49" s="23" t="str">
        <f t="shared" si="0"/>
        <v>Delivered</v>
      </c>
      <c r="G49" s="2" t="s">
        <v>28</v>
      </c>
      <c r="H49" s="2" t="s">
        <v>60</v>
      </c>
      <c r="I49" s="2" t="s">
        <v>21</v>
      </c>
      <c r="J49" s="34">
        <v>97</v>
      </c>
      <c r="K49" s="3">
        <v>1</v>
      </c>
      <c r="L49" s="38">
        <v>97</v>
      </c>
      <c r="M49" s="2" t="s">
        <v>37</v>
      </c>
      <c r="N49" s="13" t="s">
        <v>57</v>
      </c>
      <c r="O49" s="27" t="str">
        <f>_xlfn.XLOOKUP(tbl_sale[[#This Row],[Customer ID]],CustomerMaster!A:A,CustomerMaster!B:B,"NA",0)</f>
        <v>Grace Ward</v>
      </c>
      <c r="P49" s="27" t="str">
        <f>_xlfn.XLOOKUP(tbl_sale[[#This Row],[Product ID]],ProductMaster!$A$2:$A$23,ProductMaster!$B$2:$B$23,"NA",0)</f>
        <v>Shoes</v>
      </c>
      <c r="Q49" s="27" t="str">
        <f>_xlfn.XLOOKUP(tbl_sale[[#This Row],[Product ID]],ProductMaster!$A$2:$A$23,ProductMaster!$C$2:$C$23,"NA",0)</f>
        <v>Fashion</v>
      </c>
      <c r="R49" s="27" t="str">
        <f>IFERROR(IF(tbl_sale[[#This Row],[Delivery Date]]="","Pending",IF(tbl_sale[[#This Row],[Delivery Date]]-tbl_sale[[#This Row],[Order Date]]&lt;= 2,"Fast","Slow")),"Error")</f>
        <v>Slow</v>
      </c>
      <c r="S49" s="27">
        <f>_xlfn.XLOOKUP(tbl_sale[[#This Row],[Region]],RegionGoals!$A$2:$A$6,RegionGoals!$B$2:$B$6, ,0)</f>
        <v>50500</v>
      </c>
      <c r="T49" s="27" t="str">
        <f>_xlfn.XLOOKUP(tbl_sale[[#This Row],[Customer ID]],CustomerMaster!$A:$A,CustomerMaster!$C:$C,"NA",0)</f>
        <v>Business</v>
      </c>
      <c r="U49" s="27">
        <f>IF(tbl_sale[[#This Row],[Delivery Status]]="Cancelled",1,0)</f>
        <v>0</v>
      </c>
      <c r="V49" s="27">
        <f>IF(tbl_sale[[#This Row],[Order ID]]&lt;&gt;"",1,0)</f>
        <v>1</v>
      </c>
      <c r="W49" s="27">
        <f>IF(AND(tbl_sale[[#This Row],[Delivery Status]]="Delivered",tbl_sale[[#This Row],[Delivery Performance]]="Fast"),1,0)</f>
        <v>0</v>
      </c>
      <c r="X49" s="27">
        <f>IF(tbl_sale[[#This Row],[Delivery Status]]="Delivered",1,0)</f>
        <v>1</v>
      </c>
    </row>
    <row r="50" spans="1:24" ht="18" customHeight="1" x14ac:dyDescent="0.3">
      <c r="A50" s="12" t="s">
        <v>126</v>
      </c>
      <c r="B50" s="23">
        <v>45061</v>
      </c>
      <c r="C50" s="23"/>
      <c r="D50" s="23"/>
      <c r="E50" s="23" t="str">
        <f>TEXT(tbl_sale[[#This Row],[Order Date]],"MMM")</f>
        <v>May</v>
      </c>
      <c r="F50" s="23" t="str">
        <f t="shared" si="0"/>
        <v>In Transit</v>
      </c>
      <c r="G50" s="2" t="s">
        <v>127</v>
      </c>
      <c r="H50" s="2" t="s">
        <v>63</v>
      </c>
      <c r="I50" s="2" t="s">
        <v>25</v>
      </c>
      <c r="J50" s="34">
        <v>73</v>
      </c>
      <c r="K50" s="3">
        <v>5</v>
      </c>
      <c r="L50" s="38">
        <v>365</v>
      </c>
      <c r="M50" s="2" t="s">
        <v>16</v>
      </c>
      <c r="N50" s="13" t="s">
        <v>34</v>
      </c>
      <c r="O50" s="27" t="str">
        <f>_xlfn.XLOOKUP(tbl_sale[[#This Row],[Customer ID]],CustomerMaster!A:A,CustomerMaster!B:B,"NA",0)</f>
        <v>Zoe Mitchell</v>
      </c>
      <c r="P50" s="27" t="str">
        <f>_xlfn.XLOOKUP(tbl_sale[[#This Row],[Product ID]],ProductMaster!$A$2:$A$23,ProductMaster!$B$2:$B$23,"NA",0)</f>
        <v>Gaming Mouse</v>
      </c>
      <c r="Q50" s="27" t="str">
        <f>_xlfn.XLOOKUP(tbl_sale[[#This Row],[Product ID]],ProductMaster!$A$2:$A$23,ProductMaster!$C$2:$C$23,"NA",0)</f>
        <v>Electronics</v>
      </c>
      <c r="R50" s="27" t="str">
        <f>IFERROR(IF(tbl_sale[[#This Row],[Delivery Date]]="","Pending",IF(tbl_sale[[#This Row],[Delivery Date]]-tbl_sale[[#This Row],[Order Date]]&lt;= 2,"Fast","Slow")),"Error")</f>
        <v>Pending</v>
      </c>
      <c r="S50" s="27">
        <f>_xlfn.XLOOKUP(tbl_sale[[#This Row],[Region]],RegionGoals!$A$2:$A$6,RegionGoals!$B$2:$B$6, ,0)</f>
        <v>91500</v>
      </c>
      <c r="T50" s="27" t="str">
        <f>_xlfn.XLOOKUP(tbl_sale[[#This Row],[Customer ID]],CustomerMaster!$A:$A,CustomerMaster!$C:$C,"NA",0)</f>
        <v>Individual</v>
      </c>
      <c r="U50" s="27">
        <f>IF(tbl_sale[[#This Row],[Delivery Status]]="Cancelled",1,0)</f>
        <v>0</v>
      </c>
      <c r="V50" s="27">
        <f>IF(tbl_sale[[#This Row],[Order ID]]&lt;&gt;"",1,0)</f>
        <v>1</v>
      </c>
      <c r="W50" s="27">
        <f>IF(AND(tbl_sale[[#This Row],[Delivery Status]]="Delivered",tbl_sale[[#This Row],[Delivery Performance]]="Fast"),1,0)</f>
        <v>0</v>
      </c>
      <c r="X50" s="27">
        <f>IF(tbl_sale[[#This Row],[Delivery Status]]="Delivered",1,0)</f>
        <v>0</v>
      </c>
    </row>
    <row r="51" spans="1:24" ht="18" customHeight="1" x14ac:dyDescent="0.3">
      <c r="A51" s="12" t="s">
        <v>128</v>
      </c>
      <c r="B51" s="23">
        <v>44969</v>
      </c>
      <c r="C51" s="23">
        <v>44976</v>
      </c>
      <c r="D51" s="23"/>
      <c r="E51" s="23" t="str">
        <f>TEXT(tbl_sale[[#This Row],[Order Date]],"MMM")</f>
        <v>Feb</v>
      </c>
      <c r="F51" s="23" t="str">
        <f t="shared" si="0"/>
        <v>Delivered</v>
      </c>
      <c r="G51" s="2" t="s">
        <v>85</v>
      </c>
      <c r="H51" s="2" t="s">
        <v>65</v>
      </c>
      <c r="I51" s="2" t="s">
        <v>21</v>
      </c>
      <c r="J51" s="34">
        <v>27</v>
      </c>
      <c r="K51" s="3">
        <v>3</v>
      </c>
      <c r="L51" s="38">
        <v>81</v>
      </c>
      <c r="M51" s="2" t="s">
        <v>37</v>
      </c>
      <c r="N51" s="13" t="s">
        <v>30</v>
      </c>
      <c r="O51" s="27" t="str">
        <f>_xlfn.XLOOKUP(tbl_sale[[#This Row],[Customer ID]],CustomerMaster!A:A,CustomerMaster!B:B,"NA",0)</f>
        <v>Benjamin Clark</v>
      </c>
      <c r="P51" s="27" t="str">
        <f>_xlfn.XLOOKUP(tbl_sale[[#This Row],[Product ID]],ProductMaster!$A$2:$A$23,ProductMaster!$B$2:$B$23,"NA",0)</f>
        <v>T-Shirt</v>
      </c>
      <c r="Q51" s="27" t="str">
        <f>_xlfn.XLOOKUP(tbl_sale[[#This Row],[Product ID]],ProductMaster!$A$2:$A$23,ProductMaster!$C$2:$C$23,"NA",0)</f>
        <v>Fashion</v>
      </c>
      <c r="R51" s="27" t="str">
        <f>IFERROR(IF(tbl_sale[[#This Row],[Delivery Date]]="","Pending",IF(tbl_sale[[#This Row],[Delivery Date]]-tbl_sale[[#This Row],[Order Date]]&lt;= 2,"Fast","Slow")),"Error")</f>
        <v>Slow</v>
      </c>
      <c r="S51" s="27">
        <f>_xlfn.XLOOKUP(tbl_sale[[#This Row],[Region]],RegionGoals!$A$2:$A$6,RegionGoals!$B$2:$B$6, ,0)</f>
        <v>50500</v>
      </c>
      <c r="T51" s="27" t="str">
        <f>_xlfn.XLOOKUP(tbl_sale[[#This Row],[Customer ID]],CustomerMaster!$A:$A,CustomerMaster!$C:$C,"NA",0)</f>
        <v>Prime</v>
      </c>
      <c r="U51" s="27">
        <f>IF(tbl_sale[[#This Row],[Delivery Status]]="Cancelled",1,0)</f>
        <v>0</v>
      </c>
      <c r="V51" s="27">
        <f>IF(tbl_sale[[#This Row],[Order ID]]&lt;&gt;"",1,0)</f>
        <v>1</v>
      </c>
      <c r="W51" s="27">
        <f>IF(AND(tbl_sale[[#This Row],[Delivery Status]]="Delivered",tbl_sale[[#This Row],[Delivery Performance]]="Fast"),1,0)</f>
        <v>0</v>
      </c>
      <c r="X51" s="27">
        <f>IF(tbl_sale[[#This Row],[Delivery Status]]="Delivered",1,0)</f>
        <v>1</v>
      </c>
    </row>
    <row r="52" spans="1:24" ht="18" customHeight="1" x14ac:dyDescent="0.3">
      <c r="A52" s="12" t="s">
        <v>129</v>
      </c>
      <c r="B52" s="23">
        <v>45201</v>
      </c>
      <c r="C52" s="23"/>
      <c r="D52" s="23"/>
      <c r="E52" s="23" t="str">
        <f>TEXT(tbl_sale[[#This Row],[Order Date]],"MMM")</f>
        <v>Oct</v>
      </c>
      <c r="F52" s="23" t="str">
        <f t="shared" si="0"/>
        <v>In Transit</v>
      </c>
      <c r="G52" s="2" t="s">
        <v>74</v>
      </c>
      <c r="H52" s="2" t="s">
        <v>45</v>
      </c>
      <c r="I52" s="2" t="s">
        <v>15</v>
      </c>
      <c r="J52" s="34">
        <v>37</v>
      </c>
      <c r="K52" s="3">
        <v>1</v>
      </c>
      <c r="L52" s="38">
        <v>37</v>
      </c>
      <c r="M52" s="2" t="s">
        <v>16</v>
      </c>
      <c r="N52" s="13" t="s">
        <v>30</v>
      </c>
      <c r="O52" s="27" t="str">
        <f>_xlfn.XLOOKUP(tbl_sale[[#This Row],[Customer ID]],CustomerMaster!A:A,CustomerMaster!B:B,"NA",0)</f>
        <v>Jacob Price</v>
      </c>
      <c r="P52" s="27" t="str">
        <f>_xlfn.XLOOKUP(tbl_sale[[#This Row],[Product ID]],ProductMaster!$A$2:$A$23,ProductMaster!$B$2:$B$23,"NA",0)</f>
        <v>Wall Clock</v>
      </c>
      <c r="Q52" s="27" t="str">
        <f>_xlfn.XLOOKUP(tbl_sale[[#This Row],[Product ID]],ProductMaster!$A$2:$A$23,ProductMaster!$C$2:$C$23,"NA",0)</f>
        <v>Home</v>
      </c>
      <c r="R52" s="27" t="str">
        <f>IFERROR(IF(tbl_sale[[#This Row],[Delivery Date]]="","Pending",IF(tbl_sale[[#This Row],[Delivery Date]]-tbl_sale[[#This Row],[Order Date]]&lt;= 2,"Fast","Slow")),"Error")</f>
        <v>Pending</v>
      </c>
      <c r="S52" s="27">
        <f>_xlfn.XLOOKUP(tbl_sale[[#This Row],[Region]],RegionGoals!$A$2:$A$6,RegionGoals!$B$2:$B$6, ,0)</f>
        <v>105000</v>
      </c>
      <c r="T52" s="27" t="str">
        <f>_xlfn.XLOOKUP(tbl_sale[[#This Row],[Customer ID]],CustomerMaster!$A:$A,CustomerMaster!$C:$C,"NA",0)</f>
        <v>Business</v>
      </c>
      <c r="U52" s="27">
        <f>IF(tbl_sale[[#This Row],[Delivery Status]]="Cancelled",1,0)</f>
        <v>0</v>
      </c>
      <c r="V52" s="27">
        <f>IF(tbl_sale[[#This Row],[Order ID]]&lt;&gt;"",1,0)</f>
        <v>1</v>
      </c>
      <c r="W52" s="27">
        <f>IF(AND(tbl_sale[[#This Row],[Delivery Status]]="Delivered",tbl_sale[[#This Row],[Delivery Performance]]="Fast"),1,0)</f>
        <v>0</v>
      </c>
      <c r="X52" s="27">
        <f>IF(tbl_sale[[#This Row],[Delivery Status]]="Delivered",1,0)</f>
        <v>0</v>
      </c>
    </row>
    <row r="53" spans="1:24" ht="18" customHeight="1" x14ac:dyDescent="0.3">
      <c r="A53" s="12" t="s">
        <v>130</v>
      </c>
      <c r="B53" s="23">
        <v>44956</v>
      </c>
      <c r="C53" s="23">
        <v>44958</v>
      </c>
      <c r="D53" s="23"/>
      <c r="E53" s="23" t="str">
        <f>TEXT(tbl_sale[[#This Row],[Order Date]],"MMM")</f>
        <v>Jan</v>
      </c>
      <c r="F53" s="23" t="str">
        <f t="shared" si="0"/>
        <v>Delivered</v>
      </c>
      <c r="G53" s="2" t="s">
        <v>95</v>
      </c>
      <c r="H53" s="2" t="s">
        <v>69</v>
      </c>
      <c r="I53" s="2" t="s">
        <v>15</v>
      </c>
      <c r="J53" s="34">
        <v>22</v>
      </c>
      <c r="K53" s="3">
        <v>1</v>
      </c>
      <c r="L53" s="38">
        <v>22</v>
      </c>
      <c r="M53" s="2" t="s">
        <v>42</v>
      </c>
      <c r="N53" s="13" t="s">
        <v>57</v>
      </c>
      <c r="O53" s="27" t="str">
        <f>_xlfn.XLOOKUP(tbl_sale[[#This Row],[Customer ID]],CustomerMaster!A:A,CustomerMaster!B:B,"NA",0)</f>
        <v>Harper Young</v>
      </c>
      <c r="P53" s="27" t="str">
        <f>_xlfn.XLOOKUP(tbl_sale[[#This Row],[Product ID]],ProductMaster!$A$2:$A$23,ProductMaster!$B$2:$B$23,"NA",0)</f>
        <v>Novel</v>
      </c>
      <c r="Q53" s="27" t="str">
        <f>_xlfn.XLOOKUP(tbl_sale[[#This Row],[Product ID]],ProductMaster!$A$2:$A$23,ProductMaster!$C$2:$C$23,"NA",0)</f>
        <v>Books</v>
      </c>
      <c r="R53" s="27" t="str">
        <f>IFERROR(IF(tbl_sale[[#This Row],[Delivery Date]]="","Pending",IF(tbl_sale[[#This Row],[Delivery Date]]-tbl_sale[[#This Row],[Order Date]]&lt;= 2,"Fast","Slow")),"Error")</f>
        <v>Fast</v>
      </c>
      <c r="S53" s="27">
        <f>_xlfn.XLOOKUP(tbl_sale[[#This Row],[Region]],RegionGoals!$A$2:$A$6,RegionGoals!$B$2:$B$6, ,0)</f>
        <v>105000</v>
      </c>
      <c r="T53" s="27" t="str">
        <f>_xlfn.XLOOKUP(tbl_sale[[#This Row],[Customer ID]],CustomerMaster!$A:$A,CustomerMaster!$C:$C,"NA",0)</f>
        <v>Business</v>
      </c>
      <c r="U53" s="27">
        <f>IF(tbl_sale[[#This Row],[Delivery Status]]="Cancelled",1,0)</f>
        <v>0</v>
      </c>
      <c r="V53" s="27">
        <f>IF(tbl_sale[[#This Row],[Order ID]]&lt;&gt;"",1,0)</f>
        <v>1</v>
      </c>
      <c r="W53" s="27">
        <f>IF(AND(tbl_sale[[#This Row],[Delivery Status]]="Delivered",tbl_sale[[#This Row],[Delivery Performance]]="Fast"),1,0)</f>
        <v>1</v>
      </c>
      <c r="X53" s="27">
        <f>IF(tbl_sale[[#This Row],[Delivery Status]]="Delivered",1,0)</f>
        <v>1</v>
      </c>
    </row>
    <row r="54" spans="1:24" ht="18" customHeight="1" x14ac:dyDescent="0.3">
      <c r="A54" s="12" t="s">
        <v>131</v>
      </c>
      <c r="B54" s="23">
        <v>45289</v>
      </c>
      <c r="C54" s="23">
        <v>45292</v>
      </c>
      <c r="D54" s="23"/>
      <c r="E54" s="23" t="str">
        <f>TEXT(tbl_sale[[#This Row],[Order Date]],"MMM")</f>
        <v>Dec</v>
      </c>
      <c r="F54" s="23" t="str">
        <f t="shared" si="0"/>
        <v>Delivered</v>
      </c>
      <c r="G54" s="2" t="s">
        <v>71</v>
      </c>
      <c r="H54" s="2" t="s">
        <v>107</v>
      </c>
      <c r="I54" s="2" t="s">
        <v>41</v>
      </c>
      <c r="J54" s="34">
        <v>218</v>
      </c>
      <c r="K54" s="3">
        <v>5</v>
      </c>
      <c r="L54" s="38">
        <v>1090</v>
      </c>
      <c r="M54" s="2" t="s">
        <v>29</v>
      </c>
      <c r="N54" s="13" t="s">
        <v>17</v>
      </c>
      <c r="O54" s="27" t="str">
        <f>_xlfn.XLOOKUP(tbl_sale[[#This Row],[Customer ID]],CustomerMaster!A:A,CustomerMaster!B:B,"NA",0)</f>
        <v>Mason Hall</v>
      </c>
      <c r="P54" s="27" t="str">
        <f>_xlfn.XLOOKUP(tbl_sale[[#This Row],[Product ID]],ProductMaster!$A$2:$A$23,ProductMaster!$B$2:$B$23,"NA",0)</f>
        <v>Cookware Set Pro</v>
      </c>
      <c r="Q54" s="27" t="str">
        <f>_xlfn.XLOOKUP(tbl_sale[[#This Row],[Product ID]],ProductMaster!$A$2:$A$23,ProductMaster!$C$2:$C$23,"NA",0)</f>
        <v>Home</v>
      </c>
      <c r="R54" s="27" t="str">
        <f>IFERROR(IF(tbl_sale[[#This Row],[Delivery Date]]="","Pending",IF(tbl_sale[[#This Row],[Delivery Date]]-tbl_sale[[#This Row],[Order Date]]&lt;= 2,"Fast","Slow")),"Error")</f>
        <v>Slow</v>
      </c>
      <c r="S54" s="27">
        <f>_xlfn.XLOOKUP(tbl_sale[[#This Row],[Region]],RegionGoals!$A$2:$A$6,RegionGoals!$B$2:$B$6, ,0)</f>
        <v>97500</v>
      </c>
      <c r="T54" s="27" t="str">
        <f>_xlfn.XLOOKUP(tbl_sale[[#This Row],[Customer ID]],CustomerMaster!$A:$A,CustomerMaster!$C:$C,"NA",0)</f>
        <v>Business</v>
      </c>
      <c r="U54" s="27">
        <f>IF(tbl_sale[[#This Row],[Delivery Status]]="Cancelled",1,0)</f>
        <v>0</v>
      </c>
      <c r="V54" s="27">
        <f>IF(tbl_sale[[#This Row],[Order ID]]&lt;&gt;"",1,0)</f>
        <v>1</v>
      </c>
      <c r="W54" s="27">
        <f>IF(AND(tbl_sale[[#This Row],[Delivery Status]]="Delivered",tbl_sale[[#This Row],[Delivery Performance]]="Fast"),1,0)</f>
        <v>0</v>
      </c>
      <c r="X54" s="27">
        <f>IF(tbl_sale[[#This Row],[Delivery Status]]="Delivered",1,0)</f>
        <v>1</v>
      </c>
    </row>
    <row r="55" spans="1:24" ht="18" customHeight="1" x14ac:dyDescent="0.3">
      <c r="A55" s="12" t="s">
        <v>132</v>
      </c>
      <c r="B55" s="23">
        <v>44991</v>
      </c>
      <c r="C55" s="23"/>
      <c r="D55" s="23">
        <v>44998</v>
      </c>
      <c r="E55" s="23" t="str">
        <f>TEXT(tbl_sale[[#This Row],[Order Date]],"MMM")</f>
        <v>Mar</v>
      </c>
      <c r="F55" s="23" t="str">
        <f t="shared" si="0"/>
        <v>Cancelled</v>
      </c>
      <c r="G55" s="2" t="s">
        <v>90</v>
      </c>
      <c r="H55" s="2" t="s">
        <v>115</v>
      </c>
      <c r="I55" s="2" t="s">
        <v>15</v>
      </c>
      <c r="J55" s="34">
        <v>64</v>
      </c>
      <c r="K55" s="3">
        <v>1</v>
      </c>
      <c r="L55" s="38">
        <v>64</v>
      </c>
      <c r="M55" s="2" t="s">
        <v>16</v>
      </c>
      <c r="N55" s="13" t="s">
        <v>26</v>
      </c>
      <c r="O55" s="27" t="str">
        <f>_xlfn.XLOOKUP(tbl_sale[[#This Row],[Customer ID]],CustomerMaster!A:A,CustomerMaster!B:B,"NA",0)</f>
        <v>Grace Scott</v>
      </c>
      <c r="P55" s="27" t="str">
        <f>_xlfn.XLOOKUP(tbl_sale[[#This Row],[Product ID]],ProductMaster!$A$2:$A$23,ProductMaster!$B$2:$B$23,"NA",0)</f>
        <v>Leg Set</v>
      </c>
      <c r="Q55" s="27" t="str">
        <f>_xlfn.XLOOKUP(tbl_sale[[#This Row],[Product ID]],ProductMaster!$A$2:$A$23,ProductMaster!$C$2:$C$23,"NA",0)</f>
        <v>Toys</v>
      </c>
      <c r="R55" s="27" t="str">
        <f>IFERROR(IF(tbl_sale[[#This Row],[Delivery Date]]="","Pending",IF(tbl_sale[[#This Row],[Delivery Date]]-tbl_sale[[#This Row],[Order Date]]&lt;= 2,"Fast","Slow")),"Error")</f>
        <v>Pending</v>
      </c>
      <c r="S55" s="27">
        <f>_xlfn.XLOOKUP(tbl_sale[[#This Row],[Region]],RegionGoals!$A$2:$A$6,RegionGoals!$B$2:$B$6, ,0)</f>
        <v>105000</v>
      </c>
      <c r="T55" s="27" t="str">
        <f>_xlfn.XLOOKUP(tbl_sale[[#This Row],[Customer ID]],CustomerMaster!$A:$A,CustomerMaster!$C:$C,"NA",0)</f>
        <v>Individual</v>
      </c>
      <c r="U55" s="27">
        <f>IF(tbl_sale[[#This Row],[Delivery Status]]="Cancelled",1,0)</f>
        <v>1</v>
      </c>
      <c r="V55" s="27">
        <f>IF(tbl_sale[[#This Row],[Order ID]]&lt;&gt;"",1,0)</f>
        <v>1</v>
      </c>
      <c r="W55" s="27">
        <f>IF(AND(tbl_sale[[#This Row],[Delivery Status]]="Delivered",tbl_sale[[#This Row],[Delivery Performance]]="Fast"),1,0)</f>
        <v>0</v>
      </c>
      <c r="X55" s="27">
        <f>IF(tbl_sale[[#This Row],[Delivery Status]]="Delivered",1,0)</f>
        <v>0</v>
      </c>
    </row>
    <row r="56" spans="1:24" ht="18" customHeight="1" x14ac:dyDescent="0.3">
      <c r="A56" s="12" t="s">
        <v>133</v>
      </c>
      <c r="B56" s="23">
        <v>44959</v>
      </c>
      <c r="C56" s="23">
        <v>44963</v>
      </c>
      <c r="D56" s="23"/>
      <c r="E56" s="23" t="str">
        <f>TEXT(tbl_sale[[#This Row],[Order Date]],"MMM")</f>
        <v>Feb</v>
      </c>
      <c r="F56" s="23" t="str">
        <f t="shared" si="0"/>
        <v>Delivered</v>
      </c>
      <c r="G56" s="2" t="s">
        <v>99</v>
      </c>
      <c r="H56" s="2" t="s">
        <v>45</v>
      </c>
      <c r="I56" s="2" t="s">
        <v>41</v>
      </c>
      <c r="J56" s="34">
        <v>36</v>
      </c>
      <c r="K56" s="3">
        <v>4</v>
      </c>
      <c r="L56" s="38">
        <v>144</v>
      </c>
      <c r="M56" s="2" t="s">
        <v>29</v>
      </c>
      <c r="N56" s="13" t="s">
        <v>34</v>
      </c>
      <c r="O56" s="27" t="str">
        <f>_xlfn.XLOOKUP(tbl_sale[[#This Row],[Customer ID]],CustomerMaster!A:A,CustomerMaster!B:B,"NA",0)</f>
        <v>Emily Johnson</v>
      </c>
      <c r="P56" s="27" t="str">
        <f>_xlfn.XLOOKUP(tbl_sale[[#This Row],[Product ID]],ProductMaster!$A$2:$A$23,ProductMaster!$B$2:$B$23,"NA",0)</f>
        <v>Wall Clock</v>
      </c>
      <c r="Q56" s="27" t="str">
        <f>_xlfn.XLOOKUP(tbl_sale[[#This Row],[Product ID]],ProductMaster!$A$2:$A$23,ProductMaster!$C$2:$C$23,"NA",0)</f>
        <v>Home</v>
      </c>
      <c r="R56" s="27" t="str">
        <f>IFERROR(IF(tbl_sale[[#This Row],[Delivery Date]]="","Pending",IF(tbl_sale[[#This Row],[Delivery Date]]-tbl_sale[[#This Row],[Order Date]]&lt;= 2,"Fast","Slow")),"Error")</f>
        <v>Slow</v>
      </c>
      <c r="S56" s="27">
        <f>_xlfn.XLOOKUP(tbl_sale[[#This Row],[Region]],RegionGoals!$A$2:$A$6,RegionGoals!$B$2:$B$6, ,0)</f>
        <v>97500</v>
      </c>
      <c r="T56" s="27" t="str">
        <f>_xlfn.XLOOKUP(tbl_sale[[#This Row],[Customer ID]],CustomerMaster!$A:$A,CustomerMaster!$C:$C,"NA",0)</f>
        <v>Individual</v>
      </c>
      <c r="U56" s="27">
        <f>IF(tbl_sale[[#This Row],[Delivery Status]]="Cancelled",1,0)</f>
        <v>0</v>
      </c>
      <c r="V56" s="27">
        <f>IF(tbl_sale[[#This Row],[Order ID]]&lt;&gt;"",1,0)</f>
        <v>1</v>
      </c>
      <c r="W56" s="27">
        <f>IF(AND(tbl_sale[[#This Row],[Delivery Status]]="Delivered",tbl_sale[[#This Row],[Delivery Performance]]="Fast"),1,0)</f>
        <v>0</v>
      </c>
      <c r="X56" s="27">
        <f>IF(tbl_sale[[#This Row],[Delivery Status]]="Delivered",1,0)</f>
        <v>1</v>
      </c>
    </row>
    <row r="57" spans="1:24" ht="18" customHeight="1" x14ac:dyDescent="0.3">
      <c r="A57" s="12" t="s">
        <v>134</v>
      </c>
      <c r="B57" s="23">
        <v>45217</v>
      </c>
      <c r="C57" s="23">
        <v>45220</v>
      </c>
      <c r="D57" s="23"/>
      <c r="E57" s="23" t="str">
        <f>TEXT(tbl_sale[[#This Row],[Order Date]],"MMM")</f>
        <v>Oct</v>
      </c>
      <c r="F57" s="23" t="str">
        <f t="shared" si="0"/>
        <v>Delivered</v>
      </c>
      <c r="G57" s="2" t="s">
        <v>135</v>
      </c>
      <c r="H57" s="2" t="s">
        <v>115</v>
      </c>
      <c r="I57" s="2" t="s">
        <v>46</v>
      </c>
      <c r="J57" s="34">
        <v>65</v>
      </c>
      <c r="K57" s="3">
        <v>1</v>
      </c>
      <c r="L57" s="38">
        <v>65</v>
      </c>
      <c r="M57" s="2" t="s">
        <v>37</v>
      </c>
      <c r="N57" s="13" t="s">
        <v>57</v>
      </c>
      <c r="O57" s="27" t="str">
        <f>_xlfn.XLOOKUP(tbl_sale[[#This Row],[Customer ID]],CustomerMaster!A:A,CustomerMaster!B:B,"NA",0)</f>
        <v>Emma King</v>
      </c>
      <c r="P57" s="27" t="str">
        <f>_xlfn.XLOOKUP(tbl_sale[[#This Row],[Product ID]],ProductMaster!$A$2:$A$23,ProductMaster!$B$2:$B$23,"NA",0)</f>
        <v>Leg Set</v>
      </c>
      <c r="Q57" s="27" t="str">
        <f>_xlfn.XLOOKUP(tbl_sale[[#This Row],[Product ID]],ProductMaster!$A$2:$A$23,ProductMaster!$C$2:$C$23,"NA",0)</f>
        <v>Toys</v>
      </c>
      <c r="R57" s="27" t="str">
        <f>IFERROR(IF(tbl_sale[[#This Row],[Delivery Date]]="","Pending",IF(tbl_sale[[#This Row],[Delivery Date]]-tbl_sale[[#This Row],[Order Date]]&lt;= 2,"Fast","Slow")),"Error")</f>
        <v>Slow</v>
      </c>
      <c r="S57" s="27">
        <f>_xlfn.XLOOKUP(tbl_sale[[#This Row],[Region]],RegionGoals!$A$2:$A$6,RegionGoals!$B$2:$B$6, ,0)</f>
        <v>90750</v>
      </c>
      <c r="T57" s="27" t="str">
        <f>_xlfn.XLOOKUP(tbl_sale[[#This Row],[Customer ID]],CustomerMaster!$A:$A,CustomerMaster!$C:$C,"NA",0)</f>
        <v>Business</v>
      </c>
      <c r="U57" s="27">
        <f>IF(tbl_sale[[#This Row],[Delivery Status]]="Cancelled",1,0)</f>
        <v>0</v>
      </c>
      <c r="V57" s="27">
        <f>IF(tbl_sale[[#This Row],[Order ID]]&lt;&gt;"",1,0)</f>
        <v>1</v>
      </c>
      <c r="W57" s="27">
        <f>IF(AND(tbl_sale[[#This Row],[Delivery Status]]="Delivered",tbl_sale[[#This Row],[Delivery Performance]]="Fast"),1,0)</f>
        <v>0</v>
      </c>
      <c r="X57" s="27">
        <f>IF(tbl_sale[[#This Row],[Delivery Status]]="Delivered",1,0)</f>
        <v>1</v>
      </c>
    </row>
    <row r="58" spans="1:24" ht="18" customHeight="1" x14ac:dyDescent="0.3">
      <c r="A58" s="12" t="s">
        <v>136</v>
      </c>
      <c r="B58" s="23">
        <v>44933</v>
      </c>
      <c r="C58" s="23">
        <v>44935</v>
      </c>
      <c r="D58" s="23"/>
      <c r="E58" s="23" t="str">
        <f>TEXT(tbl_sale[[#This Row],[Order Date]],"MMM")</f>
        <v>Jan</v>
      </c>
      <c r="F58" s="23" t="str">
        <f t="shared" si="0"/>
        <v>Delivered</v>
      </c>
      <c r="G58" s="2" t="s">
        <v>76</v>
      </c>
      <c r="H58" s="2" t="s">
        <v>65</v>
      </c>
      <c r="I58" s="2" t="s">
        <v>41</v>
      </c>
      <c r="J58" s="34">
        <v>26</v>
      </c>
      <c r="K58" s="3">
        <v>1</v>
      </c>
      <c r="L58" s="38">
        <v>26</v>
      </c>
      <c r="M58" s="2" t="s">
        <v>16</v>
      </c>
      <c r="N58" s="13" t="s">
        <v>17</v>
      </c>
      <c r="O58" s="27" t="str">
        <f>_xlfn.XLOOKUP(tbl_sale[[#This Row],[Customer ID]],CustomerMaster!A:A,CustomerMaster!B:B,"NA",0)</f>
        <v>Emma King</v>
      </c>
      <c r="P58" s="27" t="str">
        <f>_xlfn.XLOOKUP(tbl_sale[[#This Row],[Product ID]],ProductMaster!$A$2:$A$23,ProductMaster!$B$2:$B$23,"NA",0)</f>
        <v>T-Shirt</v>
      </c>
      <c r="Q58" s="27" t="str">
        <f>_xlfn.XLOOKUP(tbl_sale[[#This Row],[Product ID]],ProductMaster!$A$2:$A$23,ProductMaster!$C$2:$C$23,"NA",0)</f>
        <v>Fashion</v>
      </c>
      <c r="R58" s="27" t="str">
        <f>IFERROR(IF(tbl_sale[[#This Row],[Delivery Date]]="","Pending",IF(tbl_sale[[#This Row],[Delivery Date]]-tbl_sale[[#This Row],[Order Date]]&lt;= 2,"Fast","Slow")),"Error")</f>
        <v>Fast</v>
      </c>
      <c r="S58" s="27">
        <f>_xlfn.XLOOKUP(tbl_sale[[#This Row],[Region]],RegionGoals!$A$2:$A$6,RegionGoals!$B$2:$B$6, ,0)</f>
        <v>97500</v>
      </c>
      <c r="T58" s="27" t="str">
        <f>_xlfn.XLOOKUP(tbl_sale[[#This Row],[Customer ID]],CustomerMaster!$A:$A,CustomerMaster!$C:$C,"NA",0)</f>
        <v>Individual</v>
      </c>
      <c r="U58" s="27">
        <f>IF(tbl_sale[[#This Row],[Delivery Status]]="Cancelled",1,0)</f>
        <v>0</v>
      </c>
      <c r="V58" s="27">
        <f>IF(tbl_sale[[#This Row],[Order ID]]&lt;&gt;"",1,0)</f>
        <v>1</v>
      </c>
      <c r="W58" s="27">
        <f>IF(AND(tbl_sale[[#This Row],[Delivery Status]]="Delivered",tbl_sale[[#This Row],[Delivery Performance]]="Fast"),1,0)</f>
        <v>1</v>
      </c>
      <c r="X58" s="27">
        <f>IF(tbl_sale[[#This Row],[Delivery Status]]="Delivered",1,0)</f>
        <v>1</v>
      </c>
    </row>
    <row r="59" spans="1:24" ht="18" customHeight="1" x14ac:dyDescent="0.3">
      <c r="A59" s="12" t="s">
        <v>137</v>
      </c>
      <c r="B59" s="23">
        <v>45054</v>
      </c>
      <c r="C59" s="23"/>
      <c r="D59" s="23"/>
      <c r="E59" s="23" t="str">
        <f>TEXT(tbl_sale[[#This Row],[Order Date]],"MMM")</f>
        <v>May</v>
      </c>
      <c r="F59" s="23" t="str">
        <f t="shared" si="0"/>
        <v>In Transit</v>
      </c>
      <c r="G59" s="2" t="s">
        <v>13</v>
      </c>
      <c r="H59" s="2" t="s">
        <v>100</v>
      </c>
      <c r="I59" s="2" t="s">
        <v>15</v>
      </c>
      <c r="J59" s="34">
        <v>11</v>
      </c>
      <c r="K59" s="3">
        <v>5</v>
      </c>
      <c r="L59" s="38">
        <v>55</v>
      </c>
      <c r="M59" s="2" t="s">
        <v>22</v>
      </c>
      <c r="N59" s="13" t="s">
        <v>57</v>
      </c>
      <c r="O59" s="27" t="str">
        <f>_xlfn.XLOOKUP(tbl_sale[[#This Row],[Customer ID]],CustomerMaster!A:A,CustomerMaster!B:B,"NA",0)</f>
        <v>Zoe Mitchell</v>
      </c>
      <c r="P59" s="27" t="str">
        <f>_xlfn.XLOOKUP(tbl_sale[[#This Row],[Product ID]],ProductMaster!$A$2:$A$23,ProductMaster!$B$2:$B$23,"NA",0)</f>
        <v>Magazine</v>
      </c>
      <c r="Q59" s="27" t="str">
        <f>_xlfn.XLOOKUP(tbl_sale[[#This Row],[Product ID]],ProductMaster!$A$2:$A$23,ProductMaster!$C$2:$C$23,"NA",0)</f>
        <v>Books</v>
      </c>
      <c r="R59" s="27" t="str">
        <f>IFERROR(IF(tbl_sale[[#This Row],[Delivery Date]]="","Pending",IF(tbl_sale[[#This Row],[Delivery Date]]-tbl_sale[[#This Row],[Order Date]]&lt;= 2,"Fast","Slow")),"Error")</f>
        <v>Pending</v>
      </c>
      <c r="S59" s="27">
        <f>_xlfn.XLOOKUP(tbl_sale[[#This Row],[Region]],RegionGoals!$A$2:$A$6,RegionGoals!$B$2:$B$6, ,0)</f>
        <v>105000</v>
      </c>
      <c r="T59" s="27" t="str">
        <f>_xlfn.XLOOKUP(tbl_sale[[#This Row],[Customer ID]],CustomerMaster!$A:$A,CustomerMaster!$C:$C,"NA",0)</f>
        <v>Individual</v>
      </c>
      <c r="U59" s="27">
        <f>IF(tbl_sale[[#This Row],[Delivery Status]]="Cancelled",1,0)</f>
        <v>0</v>
      </c>
      <c r="V59" s="27">
        <f>IF(tbl_sale[[#This Row],[Order ID]]&lt;&gt;"",1,0)</f>
        <v>1</v>
      </c>
      <c r="W59" s="27">
        <f>IF(AND(tbl_sale[[#This Row],[Delivery Status]]="Delivered",tbl_sale[[#This Row],[Delivery Performance]]="Fast"),1,0)</f>
        <v>0</v>
      </c>
      <c r="X59" s="27">
        <f>IF(tbl_sale[[#This Row],[Delivery Status]]="Delivered",1,0)</f>
        <v>0</v>
      </c>
    </row>
    <row r="60" spans="1:24" ht="18" customHeight="1" x14ac:dyDescent="0.3">
      <c r="A60" s="12" t="s">
        <v>138</v>
      </c>
      <c r="B60" s="23">
        <v>45018</v>
      </c>
      <c r="C60" s="23"/>
      <c r="D60" s="23">
        <v>45021</v>
      </c>
      <c r="E60" s="23" t="str">
        <f>TEXT(tbl_sale[[#This Row],[Order Date]],"MMM")</f>
        <v>Apr</v>
      </c>
      <c r="F60" s="23" t="str">
        <f t="shared" si="0"/>
        <v>Cancelled</v>
      </c>
      <c r="G60" s="2" t="s">
        <v>139</v>
      </c>
      <c r="H60" s="2" t="s">
        <v>24</v>
      </c>
      <c r="I60" s="2" t="s">
        <v>15</v>
      </c>
      <c r="J60" s="34">
        <v>195</v>
      </c>
      <c r="K60" s="3">
        <v>4</v>
      </c>
      <c r="L60" s="38">
        <v>780</v>
      </c>
      <c r="M60" s="2" t="s">
        <v>29</v>
      </c>
      <c r="N60" s="13" t="s">
        <v>57</v>
      </c>
      <c r="O60" s="27" t="str">
        <f>_xlfn.XLOOKUP(tbl_sale[[#This Row],[Customer ID]],CustomerMaster!A:A,CustomerMaster!B:B,"NA",0)</f>
        <v>Ethan Davis</v>
      </c>
      <c r="P60" s="27" t="str">
        <f>_xlfn.XLOOKUP(tbl_sale[[#This Row],[Product ID]],ProductMaster!$A$2:$A$23,ProductMaster!$B$2:$B$23,"NA",0)</f>
        <v>Vacuum Cleaner</v>
      </c>
      <c r="Q60" s="27" t="str">
        <f>_xlfn.XLOOKUP(tbl_sale[[#This Row],[Product ID]],ProductMaster!$A$2:$A$23,ProductMaster!$C$2:$C$23,"NA",0)</f>
        <v>Home</v>
      </c>
      <c r="R60" s="27" t="str">
        <f>IFERROR(IF(tbl_sale[[#This Row],[Delivery Date]]="","Pending",IF(tbl_sale[[#This Row],[Delivery Date]]-tbl_sale[[#This Row],[Order Date]]&lt;= 2,"Fast","Slow")),"Error")</f>
        <v>Pending</v>
      </c>
      <c r="S60" s="27">
        <f>_xlfn.XLOOKUP(tbl_sale[[#This Row],[Region]],RegionGoals!$A$2:$A$6,RegionGoals!$B$2:$B$6, ,0)</f>
        <v>105000</v>
      </c>
      <c r="T60" s="27" t="str">
        <f>_xlfn.XLOOKUP(tbl_sale[[#This Row],[Customer ID]],CustomerMaster!$A:$A,CustomerMaster!$C:$C,"NA",0)</f>
        <v>Prime</v>
      </c>
      <c r="U60" s="27">
        <f>IF(tbl_sale[[#This Row],[Delivery Status]]="Cancelled",1,0)</f>
        <v>1</v>
      </c>
      <c r="V60" s="27">
        <f>IF(tbl_sale[[#This Row],[Order ID]]&lt;&gt;"",1,0)</f>
        <v>1</v>
      </c>
      <c r="W60" s="27">
        <f>IF(AND(tbl_sale[[#This Row],[Delivery Status]]="Delivered",tbl_sale[[#This Row],[Delivery Performance]]="Fast"),1,0)</f>
        <v>0</v>
      </c>
      <c r="X60" s="27">
        <f>IF(tbl_sale[[#This Row],[Delivery Status]]="Delivered",1,0)</f>
        <v>0</v>
      </c>
    </row>
    <row r="61" spans="1:24" ht="18" customHeight="1" x14ac:dyDescent="0.3">
      <c r="A61" s="12" t="s">
        <v>140</v>
      </c>
      <c r="B61" s="23">
        <v>45210</v>
      </c>
      <c r="C61" s="23"/>
      <c r="D61" s="23">
        <v>45211</v>
      </c>
      <c r="E61" s="23" t="str">
        <f>TEXT(tbl_sale[[#This Row],[Order Date]],"MMM")</f>
        <v>Oct</v>
      </c>
      <c r="F61" s="23" t="str">
        <f t="shared" si="0"/>
        <v>Cancelled</v>
      </c>
      <c r="G61" s="2" t="s">
        <v>44</v>
      </c>
      <c r="H61" s="2" t="s">
        <v>49</v>
      </c>
      <c r="I61" s="2" t="s">
        <v>46</v>
      </c>
      <c r="J61" s="34">
        <v>44</v>
      </c>
      <c r="K61" s="3">
        <v>5</v>
      </c>
      <c r="L61" s="38">
        <v>220</v>
      </c>
      <c r="M61" s="2" t="s">
        <v>16</v>
      </c>
      <c r="N61" s="13" t="s">
        <v>26</v>
      </c>
      <c r="O61" s="27" t="str">
        <f>_xlfn.XLOOKUP(tbl_sale[[#This Row],[Customer ID]],CustomerMaster!A:A,CustomerMaster!B:B,"NA",0)</f>
        <v>Ava Robinson</v>
      </c>
      <c r="P61" s="27" t="str">
        <f>_xlfn.XLOOKUP(tbl_sale[[#This Row],[Product ID]],ProductMaster!$A$2:$A$23,ProductMaster!$B$2:$B$23,"NA",0)</f>
        <v>Formal Shirt</v>
      </c>
      <c r="Q61" s="27" t="str">
        <f>_xlfn.XLOOKUP(tbl_sale[[#This Row],[Product ID]],ProductMaster!$A$2:$A$23,ProductMaster!$C$2:$C$23,"NA",0)</f>
        <v>Fashion</v>
      </c>
      <c r="R61" s="27" t="str">
        <f>IFERROR(IF(tbl_sale[[#This Row],[Delivery Date]]="","Pending",IF(tbl_sale[[#This Row],[Delivery Date]]-tbl_sale[[#This Row],[Order Date]]&lt;= 2,"Fast","Slow")),"Error")</f>
        <v>Pending</v>
      </c>
      <c r="S61" s="27">
        <f>_xlfn.XLOOKUP(tbl_sale[[#This Row],[Region]],RegionGoals!$A$2:$A$6,RegionGoals!$B$2:$B$6, ,0)</f>
        <v>90750</v>
      </c>
      <c r="T61" s="27" t="str">
        <f>_xlfn.XLOOKUP(tbl_sale[[#This Row],[Customer ID]],CustomerMaster!$A:$A,CustomerMaster!$C:$C,"NA",0)</f>
        <v>Prime</v>
      </c>
      <c r="U61" s="27">
        <f>IF(tbl_sale[[#This Row],[Delivery Status]]="Cancelled",1,0)</f>
        <v>1</v>
      </c>
      <c r="V61" s="27">
        <f>IF(tbl_sale[[#This Row],[Order ID]]&lt;&gt;"",1,0)</f>
        <v>1</v>
      </c>
      <c r="W61" s="27">
        <f>IF(AND(tbl_sale[[#This Row],[Delivery Status]]="Delivered",tbl_sale[[#This Row],[Delivery Performance]]="Fast"),1,0)</f>
        <v>0</v>
      </c>
      <c r="X61" s="27">
        <f>IF(tbl_sale[[#This Row],[Delivery Status]]="Delivered",1,0)</f>
        <v>0</v>
      </c>
    </row>
    <row r="62" spans="1:24" ht="18" customHeight="1" x14ac:dyDescent="0.3">
      <c r="A62" s="12" t="s">
        <v>141</v>
      </c>
      <c r="B62" s="23">
        <v>45179</v>
      </c>
      <c r="C62" s="23"/>
      <c r="D62" s="23"/>
      <c r="E62" s="23" t="str">
        <f>TEXT(tbl_sale[[#This Row],[Order Date]],"MMM")</f>
        <v>Sep</v>
      </c>
      <c r="F62" s="23" t="str">
        <f t="shared" si="0"/>
        <v>In Transit</v>
      </c>
      <c r="G62" s="2" t="s">
        <v>142</v>
      </c>
      <c r="H62" s="2" t="s">
        <v>72</v>
      </c>
      <c r="I62" s="2" t="s">
        <v>21</v>
      </c>
      <c r="J62" s="34">
        <v>69</v>
      </c>
      <c r="K62" s="3">
        <v>4</v>
      </c>
      <c r="L62" s="38">
        <v>276</v>
      </c>
      <c r="M62" s="2" t="s">
        <v>42</v>
      </c>
      <c r="N62" s="13" t="s">
        <v>17</v>
      </c>
      <c r="O62" s="27" t="str">
        <f>_xlfn.XLOOKUP(tbl_sale[[#This Row],[Customer ID]],CustomerMaster!A:A,CustomerMaster!B:B,"NA",0)</f>
        <v>Scarlett Adams</v>
      </c>
      <c r="P62" s="27" t="str">
        <f>_xlfn.XLOOKUP(tbl_sale[[#This Row],[Product ID]],ProductMaster!$A$2:$A$23,ProductMaster!$B$2:$B$23,"NA",0)</f>
        <v>Textbook</v>
      </c>
      <c r="Q62" s="27" t="str">
        <f>_xlfn.XLOOKUP(tbl_sale[[#This Row],[Product ID]],ProductMaster!$A$2:$A$23,ProductMaster!$C$2:$C$23,"NA",0)</f>
        <v>Books</v>
      </c>
      <c r="R62" s="27" t="str">
        <f>IFERROR(IF(tbl_sale[[#This Row],[Delivery Date]]="","Pending",IF(tbl_sale[[#This Row],[Delivery Date]]-tbl_sale[[#This Row],[Order Date]]&lt;= 2,"Fast","Slow")),"Error")</f>
        <v>Pending</v>
      </c>
      <c r="S62" s="27">
        <f>_xlfn.XLOOKUP(tbl_sale[[#This Row],[Region]],RegionGoals!$A$2:$A$6,RegionGoals!$B$2:$B$6, ,0)</f>
        <v>50500</v>
      </c>
      <c r="T62" s="27" t="str">
        <f>_xlfn.XLOOKUP(tbl_sale[[#This Row],[Customer ID]],CustomerMaster!$A:$A,CustomerMaster!$C:$C,"NA",0)</f>
        <v>Business</v>
      </c>
      <c r="U62" s="27">
        <f>IF(tbl_sale[[#This Row],[Delivery Status]]="Cancelled",1,0)</f>
        <v>0</v>
      </c>
      <c r="V62" s="27">
        <f>IF(tbl_sale[[#This Row],[Order ID]]&lt;&gt;"",1,0)</f>
        <v>1</v>
      </c>
      <c r="W62" s="27">
        <f>IF(AND(tbl_sale[[#This Row],[Delivery Status]]="Delivered",tbl_sale[[#This Row],[Delivery Performance]]="Fast"),1,0)</f>
        <v>0</v>
      </c>
      <c r="X62" s="27">
        <f>IF(tbl_sale[[#This Row],[Delivery Status]]="Delivered",1,0)</f>
        <v>0</v>
      </c>
    </row>
    <row r="63" spans="1:24" ht="18" customHeight="1" x14ac:dyDescent="0.3">
      <c r="A63" s="12" t="s">
        <v>143</v>
      </c>
      <c r="B63" s="23">
        <v>45252</v>
      </c>
      <c r="C63" s="23">
        <v>45259</v>
      </c>
      <c r="D63" s="23"/>
      <c r="E63" s="23" t="str">
        <f>TEXT(tbl_sale[[#This Row],[Order Date]],"MMM")</f>
        <v>Nov</v>
      </c>
      <c r="F63" s="23" t="str">
        <f t="shared" si="0"/>
        <v>Delivered</v>
      </c>
      <c r="G63" s="2" t="s">
        <v>144</v>
      </c>
      <c r="H63" s="2" t="s">
        <v>77</v>
      </c>
      <c r="I63" s="2" t="s">
        <v>15</v>
      </c>
      <c r="J63" s="34">
        <v>815</v>
      </c>
      <c r="K63" s="3">
        <v>4</v>
      </c>
      <c r="L63" s="38">
        <v>3260</v>
      </c>
      <c r="M63" s="2" t="s">
        <v>22</v>
      </c>
      <c r="N63" s="13" t="s">
        <v>26</v>
      </c>
      <c r="O63" s="27" t="str">
        <f>_xlfn.XLOOKUP(tbl_sale[[#This Row],[Customer ID]],CustomerMaster!A:A,CustomerMaster!B:B,"NA",0)</f>
        <v>Elijah Lewis</v>
      </c>
      <c r="P63" s="27" t="str">
        <f>_xlfn.XLOOKUP(tbl_sale[[#This Row],[Product ID]],ProductMaster!$A$2:$A$23,ProductMaster!$B$2:$B$23,"NA",0)</f>
        <v>Smartphone</v>
      </c>
      <c r="Q63" s="27" t="str">
        <f>_xlfn.XLOOKUP(tbl_sale[[#This Row],[Product ID]],ProductMaster!$A$2:$A$23,ProductMaster!$C$2:$C$23,"NA",0)</f>
        <v>Electronics</v>
      </c>
      <c r="R63" s="27" t="str">
        <f>IFERROR(IF(tbl_sale[[#This Row],[Delivery Date]]="","Pending",IF(tbl_sale[[#This Row],[Delivery Date]]-tbl_sale[[#This Row],[Order Date]]&lt;= 2,"Fast","Slow")),"Error")</f>
        <v>Slow</v>
      </c>
      <c r="S63" s="27">
        <f>_xlfn.XLOOKUP(tbl_sale[[#This Row],[Region]],RegionGoals!$A$2:$A$6,RegionGoals!$B$2:$B$6, ,0)</f>
        <v>105000</v>
      </c>
      <c r="T63" s="27" t="str">
        <f>_xlfn.XLOOKUP(tbl_sale[[#This Row],[Customer ID]],CustomerMaster!$A:$A,CustomerMaster!$C:$C,"NA",0)</f>
        <v>Individual</v>
      </c>
      <c r="U63" s="27">
        <f>IF(tbl_sale[[#This Row],[Delivery Status]]="Cancelled",1,0)</f>
        <v>0</v>
      </c>
      <c r="V63" s="27">
        <f>IF(tbl_sale[[#This Row],[Order ID]]&lt;&gt;"",1,0)</f>
        <v>1</v>
      </c>
      <c r="W63" s="27">
        <f>IF(AND(tbl_sale[[#This Row],[Delivery Status]]="Delivered",tbl_sale[[#This Row],[Delivery Performance]]="Fast"),1,0)</f>
        <v>0</v>
      </c>
      <c r="X63" s="27">
        <f>IF(tbl_sale[[#This Row],[Delivery Status]]="Delivered",1,0)</f>
        <v>1</v>
      </c>
    </row>
    <row r="64" spans="1:24" ht="18" customHeight="1" x14ac:dyDescent="0.3">
      <c r="A64" s="12" t="s">
        <v>145</v>
      </c>
      <c r="B64" s="23">
        <v>45048</v>
      </c>
      <c r="C64" s="23"/>
      <c r="D64" s="23"/>
      <c r="E64" s="23" t="str">
        <f>TEXT(tbl_sale[[#This Row],[Order Date]],"MMM")</f>
        <v>May</v>
      </c>
      <c r="F64" s="23" t="str">
        <f t="shared" si="0"/>
        <v>In Transit</v>
      </c>
      <c r="G64" s="2" t="s">
        <v>146</v>
      </c>
      <c r="H64" s="2" t="s">
        <v>65</v>
      </c>
      <c r="I64" s="2" t="s">
        <v>21</v>
      </c>
      <c r="J64" s="34">
        <v>27</v>
      </c>
      <c r="K64" s="3">
        <v>1</v>
      </c>
      <c r="L64" s="38">
        <v>27</v>
      </c>
      <c r="M64" s="2" t="s">
        <v>42</v>
      </c>
      <c r="N64" s="13" t="s">
        <v>34</v>
      </c>
      <c r="O64" s="27" t="str">
        <f>_xlfn.XLOOKUP(tbl_sale[[#This Row],[Customer ID]],CustomerMaster!A:A,CustomerMaster!B:B,"NA",0)</f>
        <v>Noah Wilson</v>
      </c>
      <c r="P64" s="27" t="str">
        <f>_xlfn.XLOOKUP(tbl_sale[[#This Row],[Product ID]],ProductMaster!$A$2:$A$23,ProductMaster!$B$2:$B$23,"NA",0)</f>
        <v>T-Shirt</v>
      </c>
      <c r="Q64" s="27" t="str">
        <f>_xlfn.XLOOKUP(tbl_sale[[#This Row],[Product ID]],ProductMaster!$A$2:$A$23,ProductMaster!$C$2:$C$23,"NA",0)</f>
        <v>Fashion</v>
      </c>
      <c r="R64" s="27" t="str">
        <f>IFERROR(IF(tbl_sale[[#This Row],[Delivery Date]]="","Pending",IF(tbl_sale[[#This Row],[Delivery Date]]-tbl_sale[[#This Row],[Order Date]]&lt;= 2,"Fast","Slow")),"Error")</f>
        <v>Pending</v>
      </c>
      <c r="S64" s="27">
        <f>_xlfn.XLOOKUP(tbl_sale[[#This Row],[Region]],RegionGoals!$A$2:$A$6,RegionGoals!$B$2:$B$6, ,0)</f>
        <v>50500</v>
      </c>
      <c r="T64" s="27" t="str">
        <f>_xlfn.XLOOKUP(tbl_sale[[#This Row],[Customer ID]],CustomerMaster!$A:$A,CustomerMaster!$C:$C,"NA",0)</f>
        <v>Prime</v>
      </c>
      <c r="U64" s="27">
        <f>IF(tbl_sale[[#This Row],[Delivery Status]]="Cancelled",1,0)</f>
        <v>0</v>
      </c>
      <c r="V64" s="27">
        <f>IF(tbl_sale[[#This Row],[Order ID]]&lt;&gt;"",1,0)</f>
        <v>1</v>
      </c>
      <c r="W64" s="27">
        <f>IF(AND(tbl_sale[[#This Row],[Delivery Status]]="Delivered",tbl_sale[[#This Row],[Delivery Performance]]="Fast"),1,0)</f>
        <v>0</v>
      </c>
      <c r="X64" s="27">
        <f>IF(tbl_sale[[#This Row],[Delivery Status]]="Delivered",1,0)</f>
        <v>0</v>
      </c>
    </row>
    <row r="65" spans="1:24" ht="18" customHeight="1" x14ac:dyDescent="0.3">
      <c r="A65" s="12" t="s">
        <v>147</v>
      </c>
      <c r="B65" s="23">
        <v>45285</v>
      </c>
      <c r="C65" s="23">
        <v>45289</v>
      </c>
      <c r="D65" s="23"/>
      <c r="E65" s="23" t="str">
        <f>TEXT(tbl_sale[[#This Row],[Order Date]],"MMM")</f>
        <v>Dec</v>
      </c>
      <c r="F65" s="23" t="str">
        <f t="shared" si="0"/>
        <v>Delivered</v>
      </c>
      <c r="G65" s="2" t="s">
        <v>148</v>
      </c>
      <c r="H65" s="2" t="s">
        <v>51</v>
      </c>
      <c r="I65" s="2" t="s">
        <v>46</v>
      </c>
      <c r="J65" s="34">
        <v>139</v>
      </c>
      <c r="K65" s="3">
        <v>5</v>
      </c>
      <c r="L65" s="38">
        <v>695</v>
      </c>
      <c r="M65" s="2" t="s">
        <v>16</v>
      </c>
      <c r="N65" s="13" t="s">
        <v>26</v>
      </c>
      <c r="O65" s="27" t="str">
        <f>_xlfn.XLOOKUP(tbl_sale[[#This Row],[Customer ID]],CustomerMaster!A:A,CustomerMaster!B:B,"NA",0)</f>
        <v>Noah Wilson</v>
      </c>
      <c r="P65" s="27" t="str">
        <f>_xlfn.XLOOKUP(tbl_sale[[#This Row],[Product ID]],ProductMaster!$A$2:$A$23,ProductMaster!$B$2:$B$23,"NA",0)</f>
        <v>Cookware Set</v>
      </c>
      <c r="Q65" s="27" t="str">
        <f>_xlfn.XLOOKUP(tbl_sale[[#This Row],[Product ID]],ProductMaster!$A$2:$A$23,ProductMaster!$C$2:$C$23,"NA",0)</f>
        <v>Home</v>
      </c>
      <c r="R65" s="27" t="str">
        <f>IFERROR(IF(tbl_sale[[#This Row],[Delivery Date]]="","Pending",IF(tbl_sale[[#This Row],[Delivery Date]]-tbl_sale[[#This Row],[Order Date]]&lt;= 2,"Fast","Slow")),"Error")</f>
        <v>Slow</v>
      </c>
      <c r="S65" s="27">
        <f>_xlfn.XLOOKUP(tbl_sale[[#This Row],[Region]],RegionGoals!$A$2:$A$6,RegionGoals!$B$2:$B$6, ,0)</f>
        <v>90750</v>
      </c>
      <c r="T65" s="27" t="str">
        <f>_xlfn.XLOOKUP(tbl_sale[[#This Row],[Customer ID]],CustomerMaster!$A:$A,CustomerMaster!$C:$C,"NA",0)</f>
        <v>Business</v>
      </c>
      <c r="U65" s="27">
        <f>IF(tbl_sale[[#This Row],[Delivery Status]]="Cancelled",1,0)</f>
        <v>0</v>
      </c>
      <c r="V65" s="27">
        <f>IF(tbl_sale[[#This Row],[Order ID]]&lt;&gt;"",1,0)</f>
        <v>1</v>
      </c>
      <c r="W65" s="27">
        <f>IF(AND(tbl_sale[[#This Row],[Delivery Status]]="Delivered",tbl_sale[[#This Row],[Delivery Performance]]="Fast"),1,0)</f>
        <v>0</v>
      </c>
      <c r="X65" s="27">
        <f>IF(tbl_sale[[#This Row],[Delivery Status]]="Delivered",1,0)</f>
        <v>1</v>
      </c>
    </row>
    <row r="66" spans="1:24" ht="18" customHeight="1" x14ac:dyDescent="0.3">
      <c r="A66" s="12" t="s">
        <v>149</v>
      </c>
      <c r="B66" s="23">
        <v>45217</v>
      </c>
      <c r="C66" s="23"/>
      <c r="D66" s="23">
        <v>45219</v>
      </c>
      <c r="E66" s="23" t="str">
        <f>TEXT(tbl_sale[[#This Row],[Order Date]],"MMM")</f>
        <v>Oct</v>
      </c>
      <c r="F66" s="23" t="str">
        <f t="shared" ref="F66:F101" si="1">IF(D66&lt;&gt;"","Cancelled",IF(C66&lt;&gt;"","Delivered","In Transit"))</f>
        <v>Cancelled</v>
      </c>
      <c r="G66" s="2" t="s">
        <v>36</v>
      </c>
      <c r="H66" s="2" t="s">
        <v>72</v>
      </c>
      <c r="I66" s="2" t="s">
        <v>25</v>
      </c>
      <c r="J66" s="34">
        <v>69</v>
      </c>
      <c r="K66" s="3">
        <v>3</v>
      </c>
      <c r="L66" s="38">
        <v>207</v>
      </c>
      <c r="M66" s="2" t="s">
        <v>29</v>
      </c>
      <c r="N66" s="13" t="s">
        <v>34</v>
      </c>
      <c r="O66" s="27" t="str">
        <f>_xlfn.XLOOKUP(tbl_sale[[#This Row],[Customer ID]],CustomerMaster!A:A,CustomerMaster!B:B,"NA",0)</f>
        <v>Jackson Allen</v>
      </c>
      <c r="P66" s="27" t="str">
        <f>_xlfn.XLOOKUP(tbl_sale[[#This Row],[Product ID]],ProductMaster!$A$2:$A$23,ProductMaster!$B$2:$B$23,"NA",0)</f>
        <v>Textbook</v>
      </c>
      <c r="Q66" s="27" t="str">
        <f>_xlfn.XLOOKUP(tbl_sale[[#This Row],[Product ID]],ProductMaster!$A$2:$A$23,ProductMaster!$C$2:$C$23,"NA",0)</f>
        <v>Books</v>
      </c>
      <c r="R66" s="27" t="str">
        <f>IFERROR(IF(tbl_sale[[#This Row],[Delivery Date]]="","Pending",IF(tbl_sale[[#This Row],[Delivery Date]]-tbl_sale[[#This Row],[Order Date]]&lt;= 2,"Fast","Slow")),"Error")</f>
        <v>Pending</v>
      </c>
      <c r="S66" s="27">
        <f>_xlfn.XLOOKUP(tbl_sale[[#This Row],[Region]],RegionGoals!$A$2:$A$6,RegionGoals!$B$2:$B$6, ,0)</f>
        <v>91500</v>
      </c>
      <c r="T66" s="27" t="str">
        <f>_xlfn.XLOOKUP(tbl_sale[[#This Row],[Customer ID]],CustomerMaster!$A:$A,CustomerMaster!$C:$C,"NA",0)</f>
        <v>Business</v>
      </c>
      <c r="U66" s="27">
        <f>IF(tbl_sale[[#This Row],[Delivery Status]]="Cancelled",1,0)</f>
        <v>1</v>
      </c>
      <c r="V66" s="27">
        <f>IF(tbl_sale[[#This Row],[Order ID]]&lt;&gt;"",1,0)</f>
        <v>1</v>
      </c>
      <c r="W66" s="27">
        <f>IF(AND(tbl_sale[[#This Row],[Delivery Status]]="Delivered",tbl_sale[[#This Row],[Delivery Performance]]="Fast"),1,0)</f>
        <v>0</v>
      </c>
      <c r="X66" s="27">
        <f>IF(tbl_sale[[#This Row],[Delivery Status]]="Delivered",1,0)</f>
        <v>0</v>
      </c>
    </row>
    <row r="67" spans="1:24" ht="18" customHeight="1" x14ac:dyDescent="0.3">
      <c r="A67" s="12" t="s">
        <v>150</v>
      </c>
      <c r="B67" s="23">
        <v>45066</v>
      </c>
      <c r="C67" s="23"/>
      <c r="D67" s="23">
        <v>45067</v>
      </c>
      <c r="E67" s="23" t="str">
        <f>TEXT(tbl_sale[[#This Row],[Order Date]],"MMM")</f>
        <v>May</v>
      </c>
      <c r="F67" s="23" t="str">
        <f t="shared" si="1"/>
        <v>Cancelled</v>
      </c>
      <c r="G67" s="2" t="s">
        <v>36</v>
      </c>
      <c r="H67" s="2" t="s">
        <v>49</v>
      </c>
      <c r="I67" s="2" t="s">
        <v>46</v>
      </c>
      <c r="J67" s="34">
        <v>42</v>
      </c>
      <c r="K67" s="3">
        <v>1</v>
      </c>
      <c r="L67" s="38">
        <v>42</v>
      </c>
      <c r="M67" s="2" t="s">
        <v>16</v>
      </c>
      <c r="N67" s="13" t="s">
        <v>17</v>
      </c>
      <c r="O67" s="27" t="str">
        <f>_xlfn.XLOOKUP(tbl_sale[[#This Row],[Customer ID]],CustomerMaster!A:A,CustomerMaster!B:B,"NA",0)</f>
        <v>Jackson Allen</v>
      </c>
      <c r="P67" s="27" t="str">
        <f>_xlfn.XLOOKUP(tbl_sale[[#This Row],[Product ID]],ProductMaster!$A$2:$A$23,ProductMaster!$B$2:$B$23,"NA",0)</f>
        <v>Formal Shirt</v>
      </c>
      <c r="Q67" s="27" t="str">
        <f>_xlfn.XLOOKUP(tbl_sale[[#This Row],[Product ID]],ProductMaster!$A$2:$A$23,ProductMaster!$C$2:$C$23,"NA",0)</f>
        <v>Fashion</v>
      </c>
      <c r="R67" s="27" t="str">
        <f>IFERROR(IF(tbl_sale[[#This Row],[Delivery Date]]="","Pending",IF(tbl_sale[[#This Row],[Delivery Date]]-tbl_sale[[#This Row],[Order Date]]&lt;= 2,"Fast","Slow")),"Error")</f>
        <v>Pending</v>
      </c>
      <c r="S67" s="27">
        <f>_xlfn.XLOOKUP(tbl_sale[[#This Row],[Region]],RegionGoals!$A$2:$A$6,RegionGoals!$B$2:$B$6, ,0)</f>
        <v>90750</v>
      </c>
      <c r="T67" s="27" t="str">
        <f>_xlfn.XLOOKUP(tbl_sale[[#This Row],[Customer ID]],CustomerMaster!$A:$A,CustomerMaster!$C:$C,"NA",0)</f>
        <v>Business</v>
      </c>
      <c r="U67" s="27">
        <f>IF(tbl_sale[[#This Row],[Delivery Status]]="Cancelled",1,0)</f>
        <v>1</v>
      </c>
      <c r="V67" s="27">
        <f>IF(tbl_sale[[#This Row],[Order ID]]&lt;&gt;"",1,0)</f>
        <v>1</v>
      </c>
      <c r="W67" s="27">
        <f>IF(AND(tbl_sale[[#This Row],[Delivery Status]]="Delivered",tbl_sale[[#This Row],[Delivery Performance]]="Fast"),1,0)</f>
        <v>0</v>
      </c>
      <c r="X67" s="27">
        <f>IF(tbl_sale[[#This Row],[Delivery Status]]="Delivered",1,0)</f>
        <v>0</v>
      </c>
    </row>
    <row r="68" spans="1:24" ht="18" customHeight="1" x14ac:dyDescent="0.3">
      <c r="A68" s="12" t="s">
        <v>151</v>
      </c>
      <c r="B68" s="23">
        <v>45135</v>
      </c>
      <c r="C68" s="23">
        <v>45137</v>
      </c>
      <c r="D68" s="23"/>
      <c r="E68" s="23" t="str">
        <f>TEXT(tbl_sale[[#This Row],[Order Date]],"MMM")</f>
        <v>Jul</v>
      </c>
      <c r="F68" s="23" t="str">
        <f t="shared" si="1"/>
        <v>Delivered</v>
      </c>
      <c r="G68" s="2" t="s">
        <v>152</v>
      </c>
      <c r="H68" s="2" t="s">
        <v>110</v>
      </c>
      <c r="I68" s="2" t="s">
        <v>15</v>
      </c>
      <c r="J68" s="34">
        <v>31</v>
      </c>
      <c r="K68" s="3">
        <v>4</v>
      </c>
      <c r="L68" s="38">
        <v>124</v>
      </c>
      <c r="M68" s="2" t="s">
        <v>22</v>
      </c>
      <c r="N68" s="13" t="s">
        <v>30</v>
      </c>
      <c r="O68" s="27" t="str">
        <f>_xlfn.XLOOKUP(tbl_sale[[#This Row],[Customer ID]],CustomerMaster!A:A,CustomerMaster!B:B,"NA",0)</f>
        <v>NA</v>
      </c>
      <c r="P68" s="27" t="str">
        <f>_xlfn.XLOOKUP(tbl_sale[[#This Row],[Product ID]],ProductMaster!$A$2:$A$23,ProductMaster!$B$2:$B$23,"NA",0)</f>
        <v>Puzzle</v>
      </c>
      <c r="Q68" s="27" t="str">
        <f>_xlfn.XLOOKUP(tbl_sale[[#This Row],[Product ID]],ProductMaster!$A$2:$A$23,ProductMaster!$C$2:$C$23,"NA",0)</f>
        <v>Toys</v>
      </c>
      <c r="R68" s="27" t="str">
        <f>IFERROR(IF(tbl_sale[[#This Row],[Delivery Date]]="","Pending",IF(tbl_sale[[#This Row],[Delivery Date]]-tbl_sale[[#This Row],[Order Date]]&lt;= 2,"Fast","Slow")),"Error")</f>
        <v>Fast</v>
      </c>
      <c r="S68" s="27">
        <f>_xlfn.XLOOKUP(tbl_sale[[#This Row],[Region]],RegionGoals!$A$2:$A$6,RegionGoals!$B$2:$B$6, ,0)</f>
        <v>105000</v>
      </c>
      <c r="T68" s="27" t="str">
        <f>_xlfn.XLOOKUP(tbl_sale[[#This Row],[Customer ID]],CustomerMaster!$A:$A,CustomerMaster!$C:$C,"NA",0)</f>
        <v>NA</v>
      </c>
      <c r="U68" s="27">
        <f>IF(tbl_sale[[#This Row],[Delivery Status]]="Cancelled",1,0)</f>
        <v>0</v>
      </c>
      <c r="V68" s="27">
        <f>IF(tbl_sale[[#This Row],[Order ID]]&lt;&gt;"",1,0)</f>
        <v>1</v>
      </c>
      <c r="W68" s="27">
        <f>IF(AND(tbl_sale[[#This Row],[Delivery Status]]="Delivered",tbl_sale[[#This Row],[Delivery Performance]]="Fast"),1,0)</f>
        <v>1</v>
      </c>
      <c r="X68" s="27">
        <f>IF(tbl_sale[[#This Row],[Delivery Status]]="Delivered",1,0)</f>
        <v>1</v>
      </c>
    </row>
    <row r="69" spans="1:24" ht="18" customHeight="1" x14ac:dyDescent="0.3">
      <c r="A69" s="12" t="s">
        <v>153</v>
      </c>
      <c r="B69" s="23">
        <v>45278</v>
      </c>
      <c r="C69" s="23"/>
      <c r="D69" s="23"/>
      <c r="E69" s="23" t="str">
        <f>TEXT(tbl_sale[[#This Row],[Order Date]],"MMM")</f>
        <v>Dec</v>
      </c>
      <c r="F69" s="23" t="str">
        <f t="shared" si="1"/>
        <v>In Transit</v>
      </c>
      <c r="G69" s="2" t="s">
        <v>56</v>
      </c>
      <c r="H69" s="2" t="s">
        <v>40</v>
      </c>
      <c r="I69" s="2" t="s">
        <v>46</v>
      </c>
      <c r="J69" s="34">
        <v>104</v>
      </c>
      <c r="K69" s="3">
        <v>3</v>
      </c>
      <c r="L69" s="38">
        <v>312</v>
      </c>
      <c r="M69" s="2" t="s">
        <v>22</v>
      </c>
      <c r="N69" s="13" t="s">
        <v>30</v>
      </c>
      <c r="O69" s="27" t="str">
        <f>_xlfn.XLOOKUP(tbl_sale[[#This Row],[Customer ID]],CustomerMaster!A:A,CustomerMaster!B:B,"NA",0)</f>
        <v>Emily Johnson</v>
      </c>
      <c r="P69" s="27" t="str">
        <f>_xlfn.XLOOKUP(tbl_sale[[#This Row],[Product ID]],ProductMaster!$A$2:$A$23,ProductMaster!$B$2:$B$23,"NA",0)</f>
        <v>Bluetooth Speaker</v>
      </c>
      <c r="Q69" s="27" t="str">
        <f>_xlfn.XLOOKUP(tbl_sale[[#This Row],[Product ID]],ProductMaster!$A$2:$A$23,ProductMaster!$C$2:$C$23,"NA",0)</f>
        <v>Electronics</v>
      </c>
      <c r="R69" s="27" t="str">
        <f>IFERROR(IF(tbl_sale[[#This Row],[Delivery Date]]="","Pending",IF(tbl_sale[[#This Row],[Delivery Date]]-tbl_sale[[#This Row],[Order Date]]&lt;= 2,"Fast","Slow")),"Error")</f>
        <v>Pending</v>
      </c>
      <c r="S69" s="27">
        <f>_xlfn.XLOOKUP(tbl_sale[[#This Row],[Region]],RegionGoals!$A$2:$A$6,RegionGoals!$B$2:$B$6, ,0)</f>
        <v>90750</v>
      </c>
      <c r="T69" s="27" t="str">
        <f>_xlfn.XLOOKUP(tbl_sale[[#This Row],[Customer ID]],CustomerMaster!$A:$A,CustomerMaster!$C:$C,"NA",0)</f>
        <v>Individual</v>
      </c>
      <c r="U69" s="27">
        <f>IF(tbl_sale[[#This Row],[Delivery Status]]="Cancelled",1,0)</f>
        <v>0</v>
      </c>
      <c r="V69" s="27">
        <f>IF(tbl_sale[[#This Row],[Order ID]]&lt;&gt;"",1,0)</f>
        <v>1</v>
      </c>
      <c r="W69" s="27">
        <f>IF(AND(tbl_sale[[#This Row],[Delivery Status]]="Delivered",tbl_sale[[#This Row],[Delivery Performance]]="Fast"),1,0)</f>
        <v>0</v>
      </c>
      <c r="X69" s="27">
        <f>IF(tbl_sale[[#This Row],[Delivery Status]]="Delivered",1,0)</f>
        <v>0</v>
      </c>
    </row>
    <row r="70" spans="1:24" ht="18" customHeight="1" x14ac:dyDescent="0.3">
      <c r="A70" s="12" t="s">
        <v>154</v>
      </c>
      <c r="B70" s="23">
        <v>45109</v>
      </c>
      <c r="C70" s="23"/>
      <c r="D70" s="23">
        <v>45114</v>
      </c>
      <c r="E70" s="23" t="str">
        <f>TEXT(tbl_sale[[#This Row],[Order Date]],"MMM")</f>
        <v>Jul</v>
      </c>
      <c r="F70" s="23" t="str">
        <f t="shared" si="1"/>
        <v>Cancelled</v>
      </c>
      <c r="G70" s="2" t="s">
        <v>28</v>
      </c>
      <c r="H70" s="2" t="s">
        <v>33</v>
      </c>
      <c r="I70" s="2" t="s">
        <v>21</v>
      </c>
      <c r="J70" s="34">
        <v>58</v>
      </c>
      <c r="K70" s="3">
        <v>2</v>
      </c>
      <c r="L70" s="38">
        <v>116</v>
      </c>
      <c r="M70" s="2" t="s">
        <v>16</v>
      </c>
      <c r="N70" s="13" t="s">
        <v>26</v>
      </c>
      <c r="O70" s="27" t="str">
        <f>_xlfn.XLOOKUP(tbl_sale[[#This Row],[Customer ID]],CustomerMaster!A:A,CustomerMaster!B:B,"NA",0)</f>
        <v>Grace Ward</v>
      </c>
      <c r="P70" s="27" t="str">
        <f>_xlfn.XLOOKUP(tbl_sale[[#This Row],[Product ID]],ProductMaster!$A$2:$A$23,ProductMaster!$B$2:$B$23,"NA",0)</f>
        <v>Jeans</v>
      </c>
      <c r="Q70" s="27" t="str">
        <f>_xlfn.XLOOKUP(tbl_sale[[#This Row],[Product ID]],ProductMaster!$A$2:$A$23,ProductMaster!$C$2:$C$23,"NA",0)</f>
        <v>Fashion</v>
      </c>
      <c r="R70" s="27" t="str">
        <f>IFERROR(IF(tbl_sale[[#This Row],[Delivery Date]]="","Pending",IF(tbl_sale[[#This Row],[Delivery Date]]-tbl_sale[[#This Row],[Order Date]]&lt;= 2,"Fast","Slow")),"Error")</f>
        <v>Pending</v>
      </c>
      <c r="S70" s="27">
        <f>_xlfn.XLOOKUP(tbl_sale[[#This Row],[Region]],RegionGoals!$A$2:$A$6,RegionGoals!$B$2:$B$6, ,0)</f>
        <v>50500</v>
      </c>
      <c r="T70" s="27" t="str">
        <f>_xlfn.XLOOKUP(tbl_sale[[#This Row],[Customer ID]],CustomerMaster!$A:$A,CustomerMaster!$C:$C,"NA",0)</f>
        <v>Business</v>
      </c>
      <c r="U70" s="27">
        <f>IF(tbl_sale[[#This Row],[Delivery Status]]="Cancelled",1,0)</f>
        <v>1</v>
      </c>
      <c r="V70" s="27">
        <f>IF(tbl_sale[[#This Row],[Order ID]]&lt;&gt;"",1,0)</f>
        <v>1</v>
      </c>
      <c r="W70" s="27">
        <f>IF(AND(tbl_sale[[#This Row],[Delivery Status]]="Delivered",tbl_sale[[#This Row],[Delivery Performance]]="Fast"),1,0)</f>
        <v>0</v>
      </c>
      <c r="X70" s="27">
        <f>IF(tbl_sale[[#This Row],[Delivery Status]]="Delivered",1,0)</f>
        <v>0</v>
      </c>
    </row>
    <row r="71" spans="1:24" ht="18" customHeight="1" x14ac:dyDescent="0.3">
      <c r="A71" s="12" t="s">
        <v>155</v>
      </c>
      <c r="B71" s="23">
        <v>45208</v>
      </c>
      <c r="C71" s="23"/>
      <c r="D71" s="23">
        <v>45209</v>
      </c>
      <c r="E71" s="23" t="str">
        <f>TEXT(tbl_sale[[#This Row],[Order Date]],"MMM")</f>
        <v>Oct</v>
      </c>
      <c r="F71" s="23" t="str">
        <f t="shared" si="1"/>
        <v>Cancelled</v>
      </c>
      <c r="G71" s="2" t="s">
        <v>36</v>
      </c>
      <c r="H71" s="2" t="s">
        <v>115</v>
      </c>
      <c r="I71" s="2" t="s">
        <v>46</v>
      </c>
      <c r="J71" s="34">
        <v>62</v>
      </c>
      <c r="K71" s="3">
        <v>2</v>
      </c>
      <c r="L71" s="38">
        <v>124</v>
      </c>
      <c r="M71" s="2" t="s">
        <v>42</v>
      </c>
      <c r="N71" s="13" t="s">
        <v>17</v>
      </c>
      <c r="O71" s="27" t="str">
        <f>_xlfn.XLOOKUP(tbl_sale[[#This Row],[Customer ID]],CustomerMaster!A:A,CustomerMaster!B:B,"NA",0)</f>
        <v>Jackson Allen</v>
      </c>
      <c r="P71" s="27" t="str">
        <f>_xlfn.XLOOKUP(tbl_sale[[#This Row],[Product ID]],ProductMaster!$A$2:$A$23,ProductMaster!$B$2:$B$23,"NA",0)</f>
        <v>Leg Set</v>
      </c>
      <c r="Q71" s="27" t="str">
        <f>_xlfn.XLOOKUP(tbl_sale[[#This Row],[Product ID]],ProductMaster!$A$2:$A$23,ProductMaster!$C$2:$C$23,"NA",0)</f>
        <v>Toys</v>
      </c>
      <c r="R71" s="27" t="str">
        <f>IFERROR(IF(tbl_sale[[#This Row],[Delivery Date]]="","Pending",IF(tbl_sale[[#This Row],[Delivery Date]]-tbl_sale[[#This Row],[Order Date]]&lt;= 2,"Fast","Slow")),"Error")</f>
        <v>Pending</v>
      </c>
      <c r="S71" s="27">
        <f>_xlfn.XLOOKUP(tbl_sale[[#This Row],[Region]],RegionGoals!$A$2:$A$6,RegionGoals!$B$2:$B$6, ,0)</f>
        <v>90750</v>
      </c>
      <c r="T71" s="27" t="str">
        <f>_xlfn.XLOOKUP(tbl_sale[[#This Row],[Customer ID]],CustomerMaster!$A:$A,CustomerMaster!$C:$C,"NA",0)</f>
        <v>Business</v>
      </c>
      <c r="U71" s="27">
        <f>IF(tbl_sale[[#This Row],[Delivery Status]]="Cancelled",1,0)</f>
        <v>1</v>
      </c>
      <c r="V71" s="27">
        <f>IF(tbl_sale[[#This Row],[Order ID]]&lt;&gt;"",1,0)</f>
        <v>1</v>
      </c>
      <c r="W71" s="27">
        <f>IF(AND(tbl_sale[[#This Row],[Delivery Status]]="Delivered",tbl_sale[[#This Row],[Delivery Performance]]="Fast"),1,0)</f>
        <v>0</v>
      </c>
      <c r="X71" s="27">
        <f>IF(tbl_sale[[#This Row],[Delivery Status]]="Delivered",1,0)</f>
        <v>0</v>
      </c>
    </row>
    <row r="72" spans="1:24" ht="18" customHeight="1" x14ac:dyDescent="0.3">
      <c r="A72" s="12" t="s">
        <v>156</v>
      </c>
      <c r="B72" s="23">
        <v>45278</v>
      </c>
      <c r="C72" s="23">
        <v>45285</v>
      </c>
      <c r="D72" s="23"/>
      <c r="E72" s="23" t="str">
        <f>TEXT(tbl_sale[[#This Row],[Order Date]],"MMM")</f>
        <v>Dec</v>
      </c>
      <c r="F72" s="23" t="str">
        <f t="shared" si="1"/>
        <v>Delivered</v>
      </c>
      <c r="G72" s="2" t="s">
        <v>114</v>
      </c>
      <c r="H72" s="2" t="s">
        <v>49</v>
      </c>
      <c r="I72" s="2" t="s">
        <v>21</v>
      </c>
      <c r="J72" s="34">
        <v>43</v>
      </c>
      <c r="K72" s="3">
        <v>1</v>
      </c>
      <c r="L72" s="38">
        <v>43</v>
      </c>
      <c r="M72" s="2" t="s">
        <v>22</v>
      </c>
      <c r="N72" s="13" t="s">
        <v>34</v>
      </c>
      <c r="O72" s="27" t="str">
        <f>_xlfn.XLOOKUP(tbl_sale[[#This Row],[Customer ID]],CustomerMaster!A:A,CustomerMaster!B:B,"NA",0)</f>
        <v>Ava Robinson</v>
      </c>
      <c r="P72" s="27" t="str">
        <f>_xlfn.XLOOKUP(tbl_sale[[#This Row],[Product ID]],ProductMaster!$A$2:$A$23,ProductMaster!$B$2:$B$23,"NA",0)</f>
        <v>Formal Shirt</v>
      </c>
      <c r="Q72" s="27" t="str">
        <f>_xlfn.XLOOKUP(tbl_sale[[#This Row],[Product ID]],ProductMaster!$A$2:$A$23,ProductMaster!$C$2:$C$23,"NA",0)</f>
        <v>Fashion</v>
      </c>
      <c r="R72" s="27" t="str">
        <f>IFERROR(IF(tbl_sale[[#This Row],[Delivery Date]]="","Pending",IF(tbl_sale[[#This Row],[Delivery Date]]-tbl_sale[[#This Row],[Order Date]]&lt;= 2,"Fast","Slow")),"Error")</f>
        <v>Slow</v>
      </c>
      <c r="S72" s="27">
        <f>_xlfn.XLOOKUP(tbl_sale[[#This Row],[Region]],RegionGoals!$A$2:$A$6,RegionGoals!$B$2:$B$6, ,0)</f>
        <v>50500</v>
      </c>
      <c r="T72" s="27" t="str">
        <f>_xlfn.XLOOKUP(tbl_sale[[#This Row],[Customer ID]],CustomerMaster!$A:$A,CustomerMaster!$C:$C,"NA",0)</f>
        <v>Prime</v>
      </c>
      <c r="U72" s="27">
        <f>IF(tbl_sale[[#This Row],[Delivery Status]]="Cancelled",1,0)</f>
        <v>0</v>
      </c>
      <c r="V72" s="27">
        <f>IF(tbl_sale[[#This Row],[Order ID]]&lt;&gt;"",1,0)</f>
        <v>1</v>
      </c>
      <c r="W72" s="27">
        <f>IF(AND(tbl_sale[[#This Row],[Delivery Status]]="Delivered",tbl_sale[[#This Row],[Delivery Performance]]="Fast"),1,0)</f>
        <v>0</v>
      </c>
      <c r="X72" s="27">
        <f>IF(tbl_sale[[#This Row],[Delivery Status]]="Delivered",1,0)</f>
        <v>1</v>
      </c>
    </row>
    <row r="73" spans="1:24" ht="18" customHeight="1" x14ac:dyDescent="0.3">
      <c r="A73" s="12" t="s">
        <v>157</v>
      </c>
      <c r="B73" s="23">
        <v>44992</v>
      </c>
      <c r="C73" s="23"/>
      <c r="D73" s="23"/>
      <c r="E73" s="23" t="str">
        <f>TEXT(tbl_sale[[#This Row],[Order Date]],"MMM")</f>
        <v>Mar</v>
      </c>
      <c r="F73" s="23" t="str">
        <f t="shared" si="1"/>
        <v>In Transit</v>
      </c>
      <c r="G73" s="2" t="s">
        <v>144</v>
      </c>
      <c r="H73" s="2" t="s">
        <v>115</v>
      </c>
      <c r="I73" s="2" t="s">
        <v>21</v>
      </c>
      <c r="J73" s="34">
        <v>62</v>
      </c>
      <c r="K73" s="3">
        <v>4</v>
      </c>
      <c r="L73" s="38">
        <v>248</v>
      </c>
      <c r="M73" s="2" t="s">
        <v>42</v>
      </c>
      <c r="N73" s="13" t="s">
        <v>34</v>
      </c>
      <c r="O73" s="27" t="str">
        <f>_xlfn.XLOOKUP(tbl_sale[[#This Row],[Customer ID]],CustomerMaster!A:A,CustomerMaster!B:B,"NA",0)</f>
        <v>Elijah Lewis</v>
      </c>
      <c r="P73" s="27" t="str">
        <f>_xlfn.XLOOKUP(tbl_sale[[#This Row],[Product ID]],ProductMaster!$A$2:$A$23,ProductMaster!$B$2:$B$23,"NA",0)</f>
        <v>Leg Set</v>
      </c>
      <c r="Q73" s="27" t="str">
        <f>_xlfn.XLOOKUP(tbl_sale[[#This Row],[Product ID]],ProductMaster!$A$2:$A$23,ProductMaster!$C$2:$C$23,"NA",0)</f>
        <v>Toys</v>
      </c>
      <c r="R73" s="27" t="str">
        <f>IFERROR(IF(tbl_sale[[#This Row],[Delivery Date]]="","Pending",IF(tbl_sale[[#This Row],[Delivery Date]]-tbl_sale[[#This Row],[Order Date]]&lt;= 2,"Fast","Slow")),"Error")</f>
        <v>Pending</v>
      </c>
      <c r="S73" s="27">
        <f>_xlfn.XLOOKUP(tbl_sale[[#This Row],[Region]],RegionGoals!$A$2:$A$6,RegionGoals!$B$2:$B$6, ,0)</f>
        <v>50500</v>
      </c>
      <c r="T73" s="27" t="str">
        <f>_xlfn.XLOOKUP(tbl_sale[[#This Row],[Customer ID]],CustomerMaster!$A:$A,CustomerMaster!$C:$C,"NA",0)</f>
        <v>Individual</v>
      </c>
      <c r="U73" s="27">
        <f>IF(tbl_sale[[#This Row],[Delivery Status]]="Cancelled",1,0)</f>
        <v>0</v>
      </c>
      <c r="V73" s="27">
        <f>IF(tbl_sale[[#This Row],[Order ID]]&lt;&gt;"",1,0)</f>
        <v>1</v>
      </c>
      <c r="W73" s="27">
        <f>IF(AND(tbl_sale[[#This Row],[Delivery Status]]="Delivered",tbl_sale[[#This Row],[Delivery Performance]]="Fast"),1,0)</f>
        <v>0</v>
      </c>
      <c r="X73" s="27">
        <f>IF(tbl_sale[[#This Row],[Delivery Status]]="Delivered",1,0)</f>
        <v>0</v>
      </c>
    </row>
    <row r="74" spans="1:24" ht="18" customHeight="1" x14ac:dyDescent="0.3">
      <c r="A74" s="12" t="s">
        <v>158</v>
      </c>
      <c r="B74" s="23">
        <v>45129</v>
      </c>
      <c r="C74" s="23"/>
      <c r="D74" s="23">
        <v>45132</v>
      </c>
      <c r="E74" s="23" t="str">
        <f>TEXT(tbl_sale[[#This Row],[Order Date]],"MMM")</f>
        <v>Jul</v>
      </c>
      <c r="F74" s="23" t="str">
        <f t="shared" si="1"/>
        <v>Cancelled</v>
      </c>
      <c r="G74" s="2" t="s">
        <v>83</v>
      </c>
      <c r="H74" s="2" t="s">
        <v>60</v>
      </c>
      <c r="I74" s="2" t="s">
        <v>15</v>
      </c>
      <c r="J74" s="34">
        <v>95</v>
      </c>
      <c r="K74" s="3">
        <v>2</v>
      </c>
      <c r="L74" s="38">
        <v>190</v>
      </c>
      <c r="M74" s="2" t="s">
        <v>29</v>
      </c>
      <c r="N74" s="13" t="s">
        <v>30</v>
      </c>
      <c r="O74" s="27" t="str">
        <f>_xlfn.XLOOKUP(tbl_sale[[#This Row],[Customer ID]],CustomerMaster!A:A,CustomerMaster!B:B,"NA",0)</f>
        <v>Lily Bennett</v>
      </c>
      <c r="P74" s="27" t="str">
        <f>_xlfn.XLOOKUP(tbl_sale[[#This Row],[Product ID]],ProductMaster!$A$2:$A$23,ProductMaster!$B$2:$B$23,"NA",0)</f>
        <v>Shoes</v>
      </c>
      <c r="Q74" s="27" t="str">
        <f>_xlfn.XLOOKUP(tbl_sale[[#This Row],[Product ID]],ProductMaster!$A$2:$A$23,ProductMaster!$C$2:$C$23,"NA",0)</f>
        <v>Fashion</v>
      </c>
      <c r="R74" s="27" t="str">
        <f>IFERROR(IF(tbl_sale[[#This Row],[Delivery Date]]="","Pending",IF(tbl_sale[[#This Row],[Delivery Date]]-tbl_sale[[#This Row],[Order Date]]&lt;= 2,"Fast","Slow")),"Error")</f>
        <v>Pending</v>
      </c>
      <c r="S74" s="27">
        <f>_xlfn.XLOOKUP(tbl_sale[[#This Row],[Region]],RegionGoals!$A$2:$A$6,RegionGoals!$B$2:$B$6, ,0)</f>
        <v>105000</v>
      </c>
      <c r="T74" s="27" t="str">
        <f>_xlfn.XLOOKUP(tbl_sale[[#This Row],[Customer ID]],CustomerMaster!$A:$A,CustomerMaster!$C:$C,"NA",0)</f>
        <v>Business</v>
      </c>
      <c r="U74" s="27">
        <f>IF(tbl_sale[[#This Row],[Delivery Status]]="Cancelled",1,0)</f>
        <v>1</v>
      </c>
      <c r="V74" s="27">
        <f>IF(tbl_sale[[#This Row],[Order ID]]&lt;&gt;"",1,0)</f>
        <v>1</v>
      </c>
      <c r="W74" s="27">
        <f>IF(AND(tbl_sale[[#This Row],[Delivery Status]]="Delivered",tbl_sale[[#This Row],[Delivery Performance]]="Fast"),1,0)</f>
        <v>0</v>
      </c>
      <c r="X74" s="27">
        <f>IF(tbl_sale[[#This Row],[Delivery Status]]="Delivered",1,0)</f>
        <v>0</v>
      </c>
    </row>
    <row r="75" spans="1:24" ht="18" customHeight="1" x14ac:dyDescent="0.3">
      <c r="A75" s="12" t="s">
        <v>159</v>
      </c>
      <c r="B75" s="23">
        <v>44944</v>
      </c>
      <c r="C75" s="23">
        <v>44950</v>
      </c>
      <c r="D75" s="23"/>
      <c r="E75" s="23" t="str">
        <f>TEXT(tbl_sale[[#This Row],[Order Date]],"MMM")</f>
        <v>Jan</v>
      </c>
      <c r="F75" s="23" t="str">
        <f t="shared" si="1"/>
        <v>Delivered</v>
      </c>
      <c r="G75" s="2" t="s">
        <v>81</v>
      </c>
      <c r="H75" s="2" t="s">
        <v>45</v>
      </c>
      <c r="I75" s="2" t="s">
        <v>41</v>
      </c>
      <c r="J75" s="34">
        <v>36</v>
      </c>
      <c r="K75" s="3">
        <v>4</v>
      </c>
      <c r="L75" s="38">
        <v>144</v>
      </c>
      <c r="M75" s="2" t="s">
        <v>16</v>
      </c>
      <c r="N75" s="13" t="s">
        <v>57</v>
      </c>
      <c r="O75" s="27" t="str">
        <f>_xlfn.XLOOKUP(tbl_sale[[#This Row],[Customer ID]],CustomerMaster!A:A,CustomerMaster!B:B,"NA",0)</f>
        <v>Elijah Lewis</v>
      </c>
      <c r="P75" s="27" t="str">
        <f>_xlfn.XLOOKUP(tbl_sale[[#This Row],[Product ID]],ProductMaster!$A$2:$A$23,ProductMaster!$B$2:$B$23,"NA",0)</f>
        <v>Wall Clock</v>
      </c>
      <c r="Q75" s="27" t="str">
        <f>_xlfn.XLOOKUP(tbl_sale[[#This Row],[Product ID]],ProductMaster!$A$2:$A$23,ProductMaster!$C$2:$C$23,"NA",0)</f>
        <v>Home</v>
      </c>
      <c r="R75" s="27" t="str">
        <f>IFERROR(IF(tbl_sale[[#This Row],[Delivery Date]]="","Pending",IF(tbl_sale[[#This Row],[Delivery Date]]-tbl_sale[[#This Row],[Order Date]]&lt;= 2,"Fast","Slow")),"Error")</f>
        <v>Slow</v>
      </c>
      <c r="S75" s="27">
        <f>_xlfn.XLOOKUP(tbl_sale[[#This Row],[Region]],RegionGoals!$A$2:$A$6,RegionGoals!$B$2:$B$6, ,0)</f>
        <v>97500</v>
      </c>
      <c r="T75" s="27" t="str">
        <f>_xlfn.XLOOKUP(tbl_sale[[#This Row],[Customer ID]],CustomerMaster!$A:$A,CustomerMaster!$C:$C,"NA",0)</f>
        <v>Prime</v>
      </c>
      <c r="U75" s="27">
        <f>IF(tbl_sale[[#This Row],[Delivery Status]]="Cancelled",1,0)</f>
        <v>0</v>
      </c>
      <c r="V75" s="27">
        <f>IF(tbl_sale[[#This Row],[Order ID]]&lt;&gt;"",1,0)</f>
        <v>1</v>
      </c>
      <c r="W75" s="27">
        <f>IF(AND(tbl_sale[[#This Row],[Delivery Status]]="Delivered",tbl_sale[[#This Row],[Delivery Performance]]="Fast"),1,0)</f>
        <v>0</v>
      </c>
      <c r="X75" s="27">
        <f>IF(tbl_sale[[#This Row],[Delivery Status]]="Delivered",1,0)</f>
        <v>1</v>
      </c>
    </row>
    <row r="76" spans="1:24" ht="18" customHeight="1" x14ac:dyDescent="0.3">
      <c r="A76" s="12" t="s">
        <v>160</v>
      </c>
      <c r="B76" s="23">
        <v>45070</v>
      </c>
      <c r="C76" s="23"/>
      <c r="D76" s="23"/>
      <c r="E76" s="23" t="str">
        <f>TEXT(tbl_sale[[#This Row],[Order Date]],"MMM")</f>
        <v>May</v>
      </c>
      <c r="F76" s="23" t="str">
        <f>IF(D76&lt;&gt;"","Cancelled",IF(C76&lt;&gt;"","Delivered","In Transit"))</f>
        <v>In Transit</v>
      </c>
      <c r="G76" s="2" t="s">
        <v>39</v>
      </c>
      <c r="H76" s="2" t="s">
        <v>63</v>
      </c>
      <c r="I76" s="2" t="s">
        <v>21</v>
      </c>
      <c r="J76" s="34">
        <v>73</v>
      </c>
      <c r="K76" s="3">
        <v>5</v>
      </c>
      <c r="L76" s="38">
        <v>365</v>
      </c>
      <c r="M76" s="2" t="s">
        <v>16</v>
      </c>
      <c r="N76" s="13" t="s">
        <v>17</v>
      </c>
      <c r="O76" s="27" t="str">
        <f>_xlfn.XLOOKUP(tbl_sale[[#This Row],[Customer ID]],CustomerMaster!A:A,CustomerMaster!B:B,"NA",0)</f>
        <v>Noah Wilson</v>
      </c>
      <c r="P76" s="27" t="str">
        <f>_xlfn.XLOOKUP(tbl_sale[[#This Row],[Product ID]],ProductMaster!$A$2:$A$23,ProductMaster!$B$2:$B$23,"NA",0)</f>
        <v>Gaming Mouse</v>
      </c>
      <c r="Q76" s="27" t="str">
        <f>_xlfn.XLOOKUP(tbl_sale[[#This Row],[Product ID]],ProductMaster!$A$2:$A$23,ProductMaster!$C$2:$C$23,"NA",0)</f>
        <v>Electronics</v>
      </c>
      <c r="R76" s="27" t="str">
        <f>IFERROR(IF(tbl_sale[[#This Row],[Delivery Date]]="","Pending",IF(tbl_sale[[#This Row],[Delivery Date]]-tbl_sale[[#This Row],[Order Date]]&lt;= 2,"Fast","Slow")),"Error")</f>
        <v>Pending</v>
      </c>
      <c r="S76" s="27">
        <f>_xlfn.XLOOKUP(tbl_sale[[#This Row],[Region]],RegionGoals!$A$2:$A$6,RegionGoals!$B$2:$B$6, ,0)</f>
        <v>50500</v>
      </c>
      <c r="T76" s="27" t="str">
        <f>_xlfn.XLOOKUP(tbl_sale[[#This Row],[Customer ID]],CustomerMaster!$A:$A,CustomerMaster!$C:$C,"NA",0)</f>
        <v>Prime</v>
      </c>
      <c r="U76" s="27">
        <f>IF(tbl_sale[[#This Row],[Delivery Status]]="Cancelled",1,0)</f>
        <v>0</v>
      </c>
      <c r="V76" s="27">
        <f>IF(tbl_sale[[#This Row],[Order ID]]&lt;&gt;"",1,0)</f>
        <v>1</v>
      </c>
      <c r="W76" s="27">
        <f>IF(AND(tbl_sale[[#This Row],[Delivery Status]]="Delivered",tbl_sale[[#This Row],[Delivery Performance]]="Fast"),1,0)</f>
        <v>0</v>
      </c>
      <c r="X76" s="27">
        <f>IF(tbl_sale[[#This Row],[Delivery Status]]="Delivered",1,0)</f>
        <v>0</v>
      </c>
    </row>
    <row r="77" spans="1:24" ht="18" customHeight="1" x14ac:dyDescent="0.3">
      <c r="A77" s="12" t="s">
        <v>161</v>
      </c>
      <c r="B77" s="23">
        <v>45172</v>
      </c>
      <c r="C77" s="23">
        <v>45178</v>
      </c>
      <c r="D77" s="23"/>
      <c r="E77" s="23" t="str">
        <f>TEXT(tbl_sale[[#This Row],[Order Date]],"MMM")</f>
        <v>Sep</v>
      </c>
      <c r="F77" s="23" t="str">
        <f t="shared" si="1"/>
        <v>Delivered</v>
      </c>
      <c r="G77" s="2" t="s">
        <v>59</v>
      </c>
      <c r="H77" s="2" t="s">
        <v>49</v>
      </c>
      <c r="I77" s="2" t="s">
        <v>15</v>
      </c>
      <c r="J77" s="34">
        <v>43</v>
      </c>
      <c r="K77" s="3">
        <v>4</v>
      </c>
      <c r="L77" s="38">
        <v>172</v>
      </c>
      <c r="M77" s="2" t="s">
        <v>42</v>
      </c>
      <c r="N77" s="13" t="s">
        <v>17</v>
      </c>
      <c r="O77" s="27" t="str">
        <f>_xlfn.XLOOKUP(tbl_sale[[#This Row],[Customer ID]],CustomerMaster!A:A,CustomerMaster!B:B,"NA",0)</f>
        <v>Charlotte Reed</v>
      </c>
      <c r="P77" s="27" t="str">
        <f>_xlfn.XLOOKUP(tbl_sale[[#This Row],[Product ID]],ProductMaster!$A$2:$A$23,ProductMaster!$B$2:$B$23,"NA",0)</f>
        <v>Formal Shirt</v>
      </c>
      <c r="Q77" s="27" t="str">
        <f>_xlfn.XLOOKUP(tbl_sale[[#This Row],[Product ID]],ProductMaster!$A$2:$A$23,ProductMaster!$C$2:$C$23,"NA",0)</f>
        <v>Fashion</v>
      </c>
      <c r="R77" s="27" t="str">
        <f>IFERROR(IF(tbl_sale[[#This Row],[Delivery Date]]="","Pending",IF(tbl_sale[[#This Row],[Delivery Date]]-tbl_sale[[#This Row],[Order Date]]&lt;= 2,"Fast","Slow")),"Error")</f>
        <v>Slow</v>
      </c>
      <c r="S77" s="27">
        <f>_xlfn.XLOOKUP(tbl_sale[[#This Row],[Region]],RegionGoals!$A$2:$A$6,RegionGoals!$B$2:$B$6, ,0)</f>
        <v>105000</v>
      </c>
      <c r="T77" s="27" t="str">
        <f>_xlfn.XLOOKUP(tbl_sale[[#This Row],[Customer ID]],CustomerMaster!$A:$A,CustomerMaster!$C:$C,"NA",0)</f>
        <v>Individual</v>
      </c>
      <c r="U77" s="27">
        <f>IF(tbl_sale[[#This Row],[Delivery Status]]="Cancelled",1,0)</f>
        <v>0</v>
      </c>
      <c r="V77" s="27">
        <f>IF(tbl_sale[[#This Row],[Order ID]]&lt;&gt;"",1,0)</f>
        <v>1</v>
      </c>
      <c r="W77" s="27">
        <f>IF(AND(tbl_sale[[#This Row],[Delivery Status]]="Delivered",tbl_sale[[#This Row],[Delivery Performance]]="Fast"),1,0)</f>
        <v>0</v>
      </c>
      <c r="X77" s="27">
        <f>IF(tbl_sale[[#This Row],[Delivery Status]]="Delivered",1,0)</f>
        <v>1</v>
      </c>
    </row>
    <row r="78" spans="1:24" ht="18" customHeight="1" x14ac:dyDescent="0.3">
      <c r="A78" s="12" t="s">
        <v>162</v>
      </c>
      <c r="B78" s="23">
        <v>45232</v>
      </c>
      <c r="C78" s="23">
        <v>45234</v>
      </c>
      <c r="D78" s="23"/>
      <c r="E78" s="23" t="str">
        <f>TEXT(tbl_sale[[#This Row],[Order Date]],"MMM")</f>
        <v>Nov</v>
      </c>
      <c r="F78" s="23" t="str">
        <f t="shared" si="1"/>
        <v>Delivered</v>
      </c>
      <c r="G78" s="2" t="s">
        <v>146</v>
      </c>
      <c r="H78" s="2" t="s">
        <v>107</v>
      </c>
      <c r="I78" s="2" t="s">
        <v>46</v>
      </c>
      <c r="J78" s="34">
        <v>214</v>
      </c>
      <c r="K78" s="3">
        <v>5</v>
      </c>
      <c r="L78" s="38">
        <v>1070</v>
      </c>
      <c r="M78" s="2" t="s">
        <v>42</v>
      </c>
      <c r="N78" s="13" t="s">
        <v>30</v>
      </c>
      <c r="O78" s="27" t="str">
        <f>_xlfn.XLOOKUP(tbl_sale[[#This Row],[Customer ID]],CustomerMaster!A:A,CustomerMaster!B:B,"NA",0)</f>
        <v>Noah Wilson</v>
      </c>
      <c r="P78" s="27" t="str">
        <f>_xlfn.XLOOKUP(tbl_sale[[#This Row],[Product ID]],ProductMaster!$A$2:$A$23,ProductMaster!$B$2:$B$23,"NA",0)</f>
        <v>Cookware Set Pro</v>
      </c>
      <c r="Q78" s="27" t="str">
        <f>_xlfn.XLOOKUP(tbl_sale[[#This Row],[Product ID]],ProductMaster!$A$2:$A$23,ProductMaster!$C$2:$C$23,"NA",0)</f>
        <v>Home</v>
      </c>
      <c r="R78" s="27" t="str">
        <f>IFERROR(IF(tbl_sale[[#This Row],[Delivery Date]]="","Pending",IF(tbl_sale[[#This Row],[Delivery Date]]-tbl_sale[[#This Row],[Order Date]]&lt;= 2,"Fast","Slow")),"Error")</f>
        <v>Fast</v>
      </c>
      <c r="S78" s="27">
        <f>_xlfn.XLOOKUP(tbl_sale[[#This Row],[Region]],RegionGoals!$A$2:$A$6,RegionGoals!$B$2:$B$6, ,0)</f>
        <v>90750</v>
      </c>
      <c r="T78" s="27" t="str">
        <f>_xlfn.XLOOKUP(tbl_sale[[#This Row],[Customer ID]],CustomerMaster!$A:$A,CustomerMaster!$C:$C,"NA",0)</f>
        <v>Prime</v>
      </c>
      <c r="U78" s="27">
        <f>IF(tbl_sale[[#This Row],[Delivery Status]]="Cancelled",1,0)</f>
        <v>0</v>
      </c>
      <c r="V78" s="27">
        <f>IF(tbl_sale[[#This Row],[Order ID]]&lt;&gt;"",1,0)</f>
        <v>1</v>
      </c>
      <c r="W78" s="27">
        <f>IF(AND(tbl_sale[[#This Row],[Delivery Status]]="Delivered",tbl_sale[[#This Row],[Delivery Performance]]="Fast"),1,0)</f>
        <v>1</v>
      </c>
      <c r="X78" s="27">
        <f>IF(tbl_sale[[#This Row],[Delivery Status]]="Delivered",1,0)</f>
        <v>1</v>
      </c>
    </row>
    <row r="79" spans="1:24" ht="18" customHeight="1" x14ac:dyDescent="0.3">
      <c r="A79" s="12" t="s">
        <v>163</v>
      </c>
      <c r="B79" s="23">
        <v>45263</v>
      </c>
      <c r="C79" s="23"/>
      <c r="D79" s="23">
        <v>45266</v>
      </c>
      <c r="E79" s="23" t="str">
        <f>TEXT(tbl_sale[[#This Row],[Order Date]],"MMM")</f>
        <v>Dec</v>
      </c>
      <c r="F79" s="23" t="str">
        <f t="shared" si="1"/>
        <v>Cancelled</v>
      </c>
      <c r="G79" s="2" t="s">
        <v>148</v>
      </c>
      <c r="H79" s="2" t="s">
        <v>86</v>
      </c>
      <c r="I79" s="2" t="s">
        <v>41</v>
      </c>
      <c r="J79" s="34">
        <v>42</v>
      </c>
      <c r="K79" s="3">
        <v>2</v>
      </c>
      <c r="L79" s="38">
        <v>84</v>
      </c>
      <c r="M79" s="2" t="s">
        <v>16</v>
      </c>
      <c r="N79" s="13" t="s">
        <v>30</v>
      </c>
      <c r="O79" s="27" t="str">
        <f>_xlfn.XLOOKUP(tbl_sale[[#This Row],[Customer ID]],CustomerMaster!A:A,CustomerMaster!B:B,"NA",0)</f>
        <v>Noah Wilson</v>
      </c>
      <c r="P79" s="27" t="str">
        <f>_xlfn.XLOOKUP(tbl_sale[[#This Row],[Product ID]],ProductMaster!$A$2:$A$23,ProductMaster!$B$2:$B$23,"NA",0)</f>
        <v>Action Figure</v>
      </c>
      <c r="Q79" s="27" t="str">
        <f>_xlfn.XLOOKUP(tbl_sale[[#This Row],[Product ID]],ProductMaster!$A$2:$A$23,ProductMaster!$C$2:$C$23,"NA",0)</f>
        <v>Toys</v>
      </c>
      <c r="R79" s="27" t="str">
        <f>IFERROR(IF(tbl_sale[[#This Row],[Delivery Date]]="","Pending",IF(tbl_sale[[#This Row],[Delivery Date]]-tbl_sale[[#This Row],[Order Date]]&lt;= 2,"Fast","Slow")),"Error")</f>
        <v>Pending</v>
      </c>
      <c r="S79" s="27">
        <f>_xlfn.XLOOKUP(tbl_sale[[#This Row],[Region]],RegionGoals!$A$2:$A$6,RegionGoals!$B$2:$B$6, ,0)</f>
        <v>97500</v>
      </c>
      <c r="T79" s="27" t="str">
        <f>_xlfn.XLOOKUP(tbl_sale[[#This Row],[Customer ID]],CustomerMaster!$A:$A,CustomerMaster!$C:$C,"NA",0)</f>
        <v>Business</v>
      </c>
      <c r="U79" s="27">
        <f>IF(tbl_sale[[#This Row],[Delivery Status]]="Cancelled",1,0)</f>
        <v>1</v>
      </c>
      <c r="V79" s="27">
        <f>IF(tbl_sale[[#This Row],[Order ID]]&lt;&gt;"",1,0)</f>
        <v>1</v>
      </c>
      <c r="W79" s="27">
        <f>IF(AND(tbl_sale[[#This Row],[Delivery Status]]="Delivered",tbl_sale[[#This Row],[Delivery Performance]]="Fast"),1,0)</f>
        <v>0</v>
      </c>
      <c r="X79" s="27">
        <f>IF(tbl_sale[[#This Row],[Delivery Status]]="Delivered",1,0)</f>
        <v>0</v>
      </c>
    </row>
    <row r="80" spans="1:24" ht="18" customHeight="1" x14ac:dyDescent="0.3">
      <c r="A80" s="12" t="s">
        <v>164</v>
      </c>
      <c r="B80" s="23">
        <v>45017</v>
      </c>
      <c r="C80" s="23"/>
      <c r="D80" s="23"/>
      <c r="E80" s="23" t="str">
        <f>TEXT(tbl_sale[[#This Row],[Order Date]],"MMM")</f>
        <v>Apr</v>
      </c>
      <c r="F80" s="23" t="str">
        <f t="shared" si="1"/>
        <v>In Transit</v>
      </c>
      <c r="G80" s="2" t="s">
        <v>148</v>
      </c>
      <c r="H80" s="2" t="s">
        <v>14</v>
      </c>
      <c r="I80" s="2" t="s">
        <v>15</v>
      </c>
      <c r="J80" s="34">
        <v>46</v>
      </c>
      <c r="K80" s="3">
        <v>1</v>
      </c>
      <c r="L80" s="38">
        <v>46</v>
      </c>
      <c r="M80" s="2" t="s">
        <v>37</v>
      </c>
      <c r="N80" s="13" t="s">
        <v>30</v>
      </c>
      <c r="O80" s="27" t="str">
        <f>_xlfn.XLOOKUP(tbl_sale[[#This Row],[Customer ID]],CustomerMaster!A:A,CustomerMaster!B:B,"NA",0)</f>
        <v>Noah Wilson</v>
      </c>
      <c r="P80" s="27" t="str">
        <f>_xlfn.XLOOKUP(tbl_sale[[#This Row],[Product ID]],ProductMaster!$A$2:$A$23,ProductMaster!$B$2:$B$23,"NA",0)</f>
        <v>Lamp</v>
      </c>
      <c r="Q80" s="27" t="str">
        <f>_xlfn.XLOOKUP(tbl_sale[[#This Row],[Product ID]],ProductMaster!$A$2:$A$23,ProductMaster!$C$2:$C$23,"NA",0)</f>
        <v>Home</v>
      </c>
      <c r="R80" s="27" t="str">
        <f>IFERROR(IF(tbl_sale[[#This Row],[Delivery Date]]="","Pending",IF(tbl_sale[[#This Row],[Delivery Date]]-tbl_sale[[#This Row],[Order Date]]&lt;= 2,"Fast","Slow")),"Error")</f>
        <v>Pending</v>
      </c>
      <c r="S80" s="27">
        <f>_xlfn.XLOOKUP(tbl_sale[[#This Row],[Region]],RegionGoals!$A$2:$A$6,RegionGoals!$B$2:$B$6, ,0)</f>
        <v>105000</v>
      </c>
      <c r="T80" s="27" t="str">
        <f>_xlfn.XLOOKUP(tbl_sale[[#This Row],[Customer ID]],CustomerMaster!$A:$A,CustomerMaster!$C:$C,"NA",0)</f>
        <v>Business</v>
      </c>
      <c r="U80" s="27">
        <f>IF(tbl_sale[[#This Row],[Delivery Status]]="Cancelled",1,0)</f>
        <v>0</v>
      </c>
      <c r="V80" s="27">
        <f>IF(tbl_sale[[#This Row],[Order ID]]&lt;&gt;"",1,0)</f>
        <v>1</v>
      </c>
      <c r="W80" s="27">
        <f>IF(AND(tbl_sale[[#This Row],[Delivery Status]]="Delivered",tbl_sale[[#This Row],[Delivery Performance]]="Fast"),1,0)</f>
        <v>0</v>
      </c>
      <c r="X80" s="27">
        <f>IF(tbl_sale[[#This Row],[Delivery Status]]="Delivered",1,0)</f>
        <v>0</v>
      </c>
    </row>
    <row r="81" spans="1:24" ht="18" customHeight="1" x14ac:dyDescent="0.3">
      <c r="A81" s="12" t="s">
        <v>165</v>
      </c>
      <c r="B81" s="23">
        <v>45215</v>
      </c>
      <c r="C81" s="23">
        <v>45218</v>
      </c>
      <c r="D81" s="23"/>
      <c r="E81" s="23" t="str">
        <f>TEXT(tbl_sale[[#This Row],[Order Date]],"MMM")</f>
        <v>Oct</v>
      </c>
      <c r="F81" s="23" t="str">
        <f t="shared" si="1"/>
        <v>Delivered</v>
      </c>
      <c r="G81" s="2" t="s">
        <v>104</v>
      </c>
      <c r="H81" s="2" t="s">
        <v>20</v>
      </c>
      <c r="I81" s="2" t="s">
        <v>21</v>
      </c>
      <c r="J81" s="34">
        <v>95</v>
      </c>
      <c r="K81" s="3">
        <v>4</v>
      </c>
      <c r="L81" s="38">
        <v>380</v>
      </c>
      <c r="M81" s="2" t="s">
        <v>22</v>
      </c>
      <c r="N81" s="13" t="s">
        <v>30</v>
      </c>
      <c r="O81" s="27" t="str">
        <f>_xlfn.XLOOKUP(tbl_sale[[#This Row],[Customer ID]],CustomerMaster!A:A,CustomerMaster!B:B,"NA",0)</f>
        <v>Luke Gray</v>
      </c>
      <c r="P81" s="27" t="str">
        <f>_xlfn.XLOOKUP(tbl_sale[[#This Row],[Product ID]],ProductMaster!$A$2:$A$23,ProductMaster!$B$2:$B$23,"NA",0)</f>
        <v>Doll House</v>
      </c>
      <c r="Q81" s="27" t="str">
        <f>_xlfn.XLOOKUP(tbl_sale[[#This Row],[Product ID]],ProductMaster!$A$2:$A$23,ProductMaster!$C$2:$C$23,"NA",0)</f>
        <v>Toys</v>
      </c>
      <c r="R81" s="27" t="str">
        <f>IFERROR(IF(tbl_sale[[#This Row],[Delivery Date]]="","Pending",IF(tbl_sale[[#This Row],[Delivery Date]]-tbl_sale[[#This Row],[Order Date]]&lt;= 2,"Fast","Slow")),"Error")</f>
        <v>Slow</v>
      </c>
      <c r="S81" s="27">
        <f>_xlfn.XLOOKUP(tbl_sale[[#This Row],[Region]],RegionGoals!$A$2:$A$6,RegionGoals!$B$2:$B$6, ,0)</f>
        <v>50500</v>
      </c>
      <c r="T81" s="27" t="str">
        <f>_xlfn.XLOOKUP(tbl_sale[[#This Row],[Customer ID]],CustomerMaster!$A:$A,CustomerMaster!$C:$C,"NA",0)</f>
        <v>Business</v>
      </c>
      <c r="U81" s="27">
        <f>IF(tbl_sale[[#This Row],[Delivery Status]]="Cancelled",1,0)</f>
        <v>0</v>
      </c>
      <c r="V81" s="27">
        <f>IF(tbl_sale[[#This Row],[Order ID]]&lt;&gt;"",1,0)</f>
        <v>1</v>
      </c>
      <c r="W81" s="27">
        <f>IF(AND(tbl_sale[[#This Row],[Delivery Status]]="Delivered",tbl_sale[[#This Row],[Delivery Performance]]="Fast"),1,0)</f>
        <v>0</v>
      </c>
      <c r="X81" s="27">
        <f>IF(tbl_sale[[#This Row],[Delivery Status]]="Delivered",1,0)</f>
        <v>1</v>
      </c>
    </row>
    <row r="82" spans="1:24" ht="18" customHeight="1" x14ac:dyDescent="0.3">
      <c r="A82" s="12" t="s">
        <v>166</v>
      </c>
      <c r="B82" s="23">
        <v>45235</v>
      </c>
      <c r="C82" s="23"/>
      <c r="D82" s="23"/>
      <c r="E82" s="23" t="str">
        <f>TEXT(tbl_sale[[#This Row],[Order Date]],"MMM")</f>
        <v>Nov</v>
      </c>
      <c r="F82" s="23" t="str">
        <f t="shared" si="1"/>
        <v>In Transit</v>
      </c>
      <c r="G82" s="2" t="s">
        <v>117</v>
      </c>
      <c r="H82" s="2" t="s">
        <v>105</v>
      </c>
      <c r="I82" s="2" t="s">
        <v>46</v>
      </c>
      <c r="J82" s="34">
        <v>174</v>
      </c>
      <c r="K82" s="3">
        <v>2</v>
      </c>
      <c r="L82" s="38">
        <v>348</v>
      </c>
      <c r="M82" s="2" t="s">
        <v>29</v>
      </c>
      <c r="N82" s="13" t="s">
        <v>30</v>
      </c>
      <c r="O82" s="27" t="str">
        <f>_xlfn.XLOOKUP(tbl_sale[[#This Row],[Customer ID]],CustomerMaster!A:A,CustomerMaster!B:B,"NA",0)</f>
        <v>James Miller</v>
      </c>
      <c r="P82" s="27" t="str">
        <f>_xlfn.XLOOKUP(tbl_sale[[#This Row],[Product ID]],ProductMaster!$A$2:$A$23,ProductMaster!$B$2:$B$23,"NA",0)</f>
        <v>Headphones</v>
      </c>
      <c r="Q82" s="27" t="str">
        <f>_xlfn.XLOOKUP(tbl_sale[[#This Row],[Product ID]],ProductMaster!$A$2:$A$23,ProductMaster!$C$2:$C$23,"NA",0)</f>
        <v>Electronics</v>
      </c>
      <c r="R82" s="27" t="str">
        <f>IFERROR(IF(tbl_sale[[#This Row],[Delivery Date]]="","Pending",IF(tbl_sale[[#This Row],[Delivery Date]]-tbl_sale[[#This Row],[Order Date]]&lt;= 2,"Fast","Slow")),"Error")</f>
        <v>Pending</v>
      </c>
      <c r="S82" s="27">
        <f>_xlfn.XLOOKUP(tbl_sale[[#This Row],[Region]],RegionGoals!$A$2:$A$6,RegionGoals!$B$2:$B$6, ,0)</f>
        <v>90750</v>
      </c>
      <c r="T82" s="27" t="str">
        <f>_xlfn.XLOOKUP(tbl_sale[[#This Row],[Customer ID]],CustomerMaster!$A:$A,CustomerMaster!$C:$C,"NA",0)</f>
        <v>Business</v>
      </c>
      <c r="U82" s="27">
        <f>IF(tbl_sale[[#This Row],[Delivery Status]]="Cancelled",1,0)</f>
        <v>0</v>
      </c>
      <c r="V82" s="27">
        <f>IF(tbl_sale[[#This Row],[Order ID]]&lt;&gt;"",1,0)</f>
        <v>1</v>
      </c>
      <c r="W82" s="27">
        <f>IF(AND(tbl_sale[[#This Row],[Delivery Status]]="Delivered",tbl_sale[[#This Row],[Delivery Performance]]="Fast"),1,0)</f>
        <v>0</v>
      </c>
      <c r="X82" s="27">
        <f>IF(tbl_sale[[#This Row],[Delivery Status]]="Delivered",1,0)</f>
        <v>0</v>
      </c>
    </row>
    <row r="83" spans="1:24" ht="18" customHeight="1" x14ac:dyDescent="0.3">
      <c r="A83" s="12" t="s">
        <v>167</v>
      </c>
      <c r="B83" s="23">
        <v>45092</v>
      </c>
      <c r="C83" s="23"/>
      <c r="D83" s="23">
        <v>45095</v>
      </c>
      <c r="E83" s="23" t="str">
        <f>TEXT(tbl_sale[[#This Row],[Order Date]],"MMM")</f>
        <v>Jun</v>
      </c>
      <c r="F83" s="23" t="str">
        <f t="shared" si="1"/>
        <v>Cancelled</v>
      </c>
      <c r="G83" s="2" t="s">
        <v>53</v>
      </c>
      <c r="H83" s="2" t="s">
        <v>65</v>
      </c>
      <c r="I83" s="2" t="s">
        <v>15</v>
      </c>
      <c r="J83" s="34">
        <v>27</v>
      </c>
      <c r="K83" s="3">
        <v>5</v>
      </c>
      <c r="L83" s="38">
        <v>135</v>
      </c>
      <c r="M83" s="2" t="s">
        <v>22</v>
      </c>
      <c r="N83" s="13" t="s">
        <v>34</v>
      </c>
      <c r="O83" s="27" t="str">
        <f>_xlfn.XLOOKUP(tbl_sale[[#This Row],[Customer ID]],CustomerMaster!A:A,CustomerMaster!B:B,"NA",0)</f>
        <v>Emily Johnson</v>
      </c>
      <c r="P83" s="27" t="str">
        <f>_xlfn.XLOOKUP(tbl_sale[[#This Row],[Product ID]],ProductMaster!$A$2:$A$23,ProductMaster!$B$2:$B$23,"NA",0)</f>
        <v>T-Shirt</v>
      </c>
      <c r="Q83" s="27" t="str">
        <f>_xlfn.XLOOKUP(tbl_sale[[#This Row],[Product ID]],ProductMaster!$A$2:$A$23,ProductMaster!$C$2:$C$23,"NA",0)</f>
        <v>Fashion</v>
      </c>
      <c r="R83" s="27" t="str">
        <f>IFERROR(IF(tbl_sale[[#This Row],[Delivery Date]]="","Pending",IF(tbl_sale[[#This Row],[Delivery Date]]-tbl_sale[[#This Row],[Order Date]]&lt;= 2,"Fast","Slow")),"Error")</f>
        <v>Pending</v>
      </c>
      <c r="S83" s="27">
        <f>_xlfn.XLOOKUP(tbl_sale[[#This Row],[Region]],RegionGoals!$A$2:$A$6,RegionGoals!$B$2:$B$6, ,0)</f>
        <v>105000</v>
      </c>
      <c r="T83" s="27" t="str">
        <f>_xlfn.XLOOKUP(tbl_sale[[#This Row],[Customer ID]],CustomerMaster!$A:$A,CustomerMaster!$C:$C,"NA",0)</f>
        <v>Prime</v>
      </c>
      <c r="U83" s="27">
        <f>IF(tbl_sale[[#This Row],[Delivery Status]]="Cancelled",1,0)</f>
        <v>1</v>
      </c>
      <c r="V83" s="27">
        <f>IF(tbl_sale[[#This Row],[Order ID]]&lt;&gt;"",1,0)</f>
        <v>1</v>
      </c>
      <c r="W83" s="27">
        <f>IF(AND(tbl_sale[[#This Row],[Delivery Status]]="Delivered",tbl_sale[[#This Row],[Delivery Performance]]="Fast"),1,0)</f>
        <v>0</v>
      </c>
      <c r="X83" s="27">
        <f>IF(tbl_sale[[#This Row],[Delivery Status]]="Delivered",1,0)</f>
        <v>0</v>
      </c>
    </row>
    <row r="84" spans="1:24" ht="18" customHeight="1" x14ac:dyDescent="0.3">
      <c r="A84" s="12" t="s">
        <v>168</v>
      </c>
      <c r="B84" s="23">
        <v>45227</v>
      </c>
      <c r="C84" s="23">
        <v>45229</v>
      </c>
      <c r="D84" s="23"/>
      <c r="E84" s="23" t="str">
        <f>TEXT(tbl_sale[[#This Row],[Order Date]],"MMM")</f>
        <v>Oct</v>
      </c>
      <c r="F84" s="23" t="str">
        <f t="shared" si="1"/>
        <v>Delivered</v>
      </c>
      <c r="G84" s="2" t="s">
        <v>13</v>
      </c>
      <c r="H84" s="2" t="s">
        <v>65</v>
      </c>
      <c r="I84" s="2" t="s">
        <v>25</v>
      </c>
      <c r="J84" s="34">
        <v>27</v>
      </c>
      <c r="K84" s="3">
        <v>4</v>
      </c>
      <c r="L84" s="38">
        <v>108</v>
      </c>
      <c r="M84" s="2" t="s">
        <v>29</v>
      </c>
      <c r="N84" s="13" t="s">
        <v>26</v>
      </c>
      <c r="O84" s="27" t="str">
        <f>_xlfn.XLOOKUP(tbl_sale[[#This Row],[Customer ID]],CustomerMaster!A:A,CustomerMaster!B:B,"NA",0)</f>
        <v>Zoe Mitchell</v>
      </c>
      <c r="P84" s="27" t="str">
        <f>_xlfn.XLOOKUP(tbl_sale[[#This Row],[Product ID]],ProductMaster!$A$2:$A$23,ProductMaster!$B$2:$B$23,"NA",0)</f>
        <v>T-Shirt</v>
      </c>
      <c r="Q84" s="27" t="str">
        <f>_xlfn.XLOOKUP(tbl_sale[[#This Row],[Product ID]],ProductMaster!$A$2:$A$23,ProductMaster!$C$2:$C$23,"NA",0)</f>
        <v>Fashion</v>
      </c>
      <c r="R84" s="27" t="str">
        <f>IFERROR(IF(tbl_sale[[#This Row],[Delivery Date]]="","Pending",IF(tbl_sale[[#This Row],[Delivery Date]]-tbl_sale[[#This Row],[Order Date]]&lt;= 2,"Fast","Slow")),"Error")</f>
        <v>Fast</v>
      </c>
      <c r="S84" s="27">
        <f>_xlfn.XLOOKUP(tbl_sale[[#This Row],[Region]],RegionGoals!$A$2:$A$6,RegionGoals!$B$2:$B$6, ,0)</f>
        <v>91500</v>
      </c>
      <c r="T84" s="27" t="str">
        <f>_xlfn.XLOOKUP(tbl_sale[[#This Row],[Customer ID]],CustomerMaster!$A:$A,CustomerMaster!$C:$C,"NA",0)</f>
        <v>Individual</v>
      </c>
      <c r="U84" s="27">
        <f>IF(tbl_sale[[#This Row],[Delivery Status]]="Cancelled",1,0)</f>
        <v>0</v>
      </c>
      <c r="V84" s="27">
        <f>IF(tbl_sale[[#This Row],[Order ID]]&lt;&gt;"",1,0)</f>
        <v>1</v>
      </c>
      <c r="W84" s="27">
        <f>IF(AND(tbl_sale[[#This Row],[Delivery Status]]="Delivered",tbl_sale[[#This Row],[Delivery Performance]]="Fast"),1,0)</f>
        <v>1</v>
      </c>
      <c r="X84" s="27">
        <f>IF(tbl_sale[[#This Row],[Delivery Status]]="Delivered",1,0)</f>
        <v>1</v>
      </c>
    </row>
    <row r="85" spans="1:24" ht="18" customHeight="1" x14ac:dyDescent="0.3">
      <c r="A85" s="12" t="s">
        <v>169</v>
      </c>
      <c r="B85" s="23">
        <v>45282</v>
      </c>
      <c r="C85" s="23"/>
      <c r="D85" s="23"/>
      <c r="E85" s="23" t="str">
        <f>TEXT(tbl_sale[[#This Row],[Order Date]],"MMM")</f>
        <v>Dec</v>
      </c>
      <c r="F85" s="23" t="str">
        <f t="shared" si="1"/>
        <v>In Transit</v>
      </c>
      <c r="G85" s="2" t="s">
        <v>170</v>
      </c>
      <c r="H85" s="2" t="s">
        <v>88</v>
      </c>
      <c r="I85" s="2" t="s">
        <v>25</v>
      </c>
      <c r="J85" s="34">
        <v>65</v>
      </c>
      <c r="K85" s="3">
        <v>2</v>
      </c>
      <c r="L85" s="38">
        <v>130</v>
      </c>
      <c r="M85" s="2" t="s">
        <v>29</v>
      </c>
      <c r="N85" s="13" t="s">
        <v>17</v>
      </c>
      <c r="O85" s="27" t="str">
        <f>_xlfn.XLOOKUP(tbl_sale[[#This Row],[Customer ID]],CustomerMaster!A:A,CustomerMaster!B:B,"NA",0)</f>
        <v>Ava White</v>
      </c>
      <c r="P85" s="27" t="str">
        <f>_xlfn.XLOOKUP(tbl_sale[[#This Row],[Product ID]],ProductMaster!$A$2:$A$23,ProductMaster!$B$2:$B$23,"NA",0)</f>
        <v>Backpack</v>
      </c>
      <c r="Q85" s="27" t="str">
        <f>_xlfn.XLOOKUP(tbl_sale[[#This Row],[Product ID]],ProductMaster!$A$2:$A$23,ProductMaster!$C$2:$C$23,"NA",0)</f>
        <v>Fashion</v>
      </c>
      <c r="R85" s="27" t="str">
        <f>IFERROR(IF(tbl_sale[[#This Row],[Delivery Date]]="","Pending",IF(tbl_sale[[#This Row],[Delivery Date]]-tbl_sale[[#This Row],[Order Date]]&lt;= 2,"Fast","Slow")),"Error")</f>
        <v>Pending</v>
      </c>
      <c r="S85" s="27">
        <f>_xlfn.XLOOKUP(tbl_sale[[#This Row],[Region]],RegionGoals!$A$2:$A$6,RegionGoals!$B$2:$B$6, ,0)</f>
        <v>91500</v>
      </c>
      <c r="T85" s="27" t="str">
        <f>_xlfn.XLOOKUP(tbl_sale[[#This Row],[Customer ID]],CustomerMaster!$A:$A,CustomerMaster!$C:$C,"NA",0)</f>
        <v>Individual</v>
      </c>
      <c r="U85" s="27">
        <f>IF(tbl_sale[[#This Row],[Delivery Status]]="Cancelled",1,0)</f>
        <v>0</v>
      </c>
      <c r="V85" s="27">
        <f>IF(tbl_sale[[#This Row],[Order ID]]&lt;&gt;"",1,0)</f>
        <v>1</v>
      </c>
      <c r="W85" s="27">
        <f>IF(AND(tbl_sale[[#This Row],[Delivery Status]]="Delivered",tbl_sale[[#This Row],[Delivery Performance]]="Fast"),1,0)</f>
        <v>0</v>
      </c>
      <c r="X85" s="27">
        <f>IF(tbl_sale[[#This Row],[Delivery Status]]="Delivered",1,0)</f>
        <v>0</v>
      </c>
    </row>
    <row r="86" spans="1:24" ht="18" customHeight="1" x14ac:dyDescent="0.3">
      <c r="A86" s="12" t="s">
        <v>171</v>
      </c>
      <c r="B86" s="23">
        <v>44992</v>
      </c>
      <c r="C86" s="23"/>
      <c r="D86" s="23"/>
      <c r="E86" s="23" t="str">
        <f>TEXT(tbl_sale[[#This Row],[Order Date]],"MMM")</f>
        <v>Mar</v>
      </c>
      <c r="F86" s="23" t="str">
        <f t="shared" si="1"/>
        <v>In Transit</v>
      </c>
      <c r="G86" s="2" t="s">
        <v>56</v>
      </c>
      <c r="H86" s="2" t="s">
        <v>49</v>
      </c>
      <c r="I86" s="2" t="s">
        <v>21</v>
      </c>
      <c r="J86" s="34">
        <v>43</v>
      </c>
      <c r="K86" s="3">
        <v>5</v>
      </c>
      <c r="L86" s="38">
        <v>215</v>
      </c>
      <c r="M86" s="2" t="s">
        <v>42</v>
      </c>
      <c r="N86" s="13" t="s">
        <v>17</v>
      </c>
      <c r="O86" s="27" t="str">
        <f>_xlfn.XLOOKUP(tbl_sale[[#This Row],[Customer ID]],CustomerMaster!A:A,CustomerMaster!B:B,"NA",0)</f>
        <v>Emily Johnson</v>
      </c>
      <c r="P86" s="27" t="str">
        <f>_xlfn.XLOOKUP(tbl_sale[[#This Row],[Product ID]],ProductMaster!$A$2:$A$23,ProductMaster!$B$2:$B$23,"NA",0)</f>
        <v>Formal Shirt</v>
      </c>
      <c r="Q86" s="27" t="str">
        <f>_xlfn.XLOOKUP(tbl_sale[[#This Row],[Product ID]],ProductMaster!$A$2:$A$23,ProductMaster!$C$2:$C$23,"NA",0)</f>
        <v>Fashion</v>
      </c>
      <c r="R86" s="27" t="str">
        <f>IFERROR(IF(tbl_sale[[#This Row],[Delivery Date]]="","Pending",IF(tbl_sale[[#This Row],[Delivery Date]]-tbl_sale[[#This Row],[Order Date]]&lt;= 2,"Fast","Slow")),"Error")</f>
        <v>Pending</v>
      </c>
      <c r="S86" s="27">
        <f>_xlfn.XLOOKUP(tbl_sale[[#This Row],[Region]],RegionGoals!$A$2:$A$6,RegionGoals!$B$2:$B$6, ,0)</f>
        <v>50500</v>
      </c>
      <c r="T86" s="27" t="str">
        <f>_xlfn.XLOOKUP(tbl_sale[[#This Row],[Customer ID]],CustomerMaster!$A:$A,CustomerMaster!$C:$C,"NA",0)</f>
        <v>Individual</v>
      </c>
      <c r="U86" s="27">
        <f>IF(tbl_sale[[#This Row],[Delivery Status]]="Cancelled",1,0)</f>
        <v>0</v>
      </c>
      <c r="V86" s="27">
        <f>IF(tbl_sale[[#This Row],[Order ID]]&lt;&gt;"",1,0)</f>
        <v>1</v>
      </c>
      <c r="W86" s="27">
        <f>IF(AND(tbl_sale[[#This Row],[Delivery Status]]="Delivered",tbl_sale[[#This Row],[Delivery Performance]]="Fast"),1,0)</f>
        <v>0</v>
      </c>
      <c r="X86" s="27">
        <f>IF(tbl_sale[[#This Row],[Delivery Status]]="Delivered",1,0)</f>
        <v>0</v>
      </c>
    </row>
    <row r="87" spans="1:24" ht="18" customHeight="1" x14ac:dyDescent="0.3">
      <c r="A87" s="12" t="s">
        <v>172</v>
      </c>
      <c r="B87" s="23">
        <v>45240</v>
      </c>
      <c r="C87" s="23"/>
      <c r="D87" s="23"/>
      <c r="E87" s="23" t="str">
        <f>TEXT(tbl_sale[[#This Row],[Order Date]],"MMM")</f>
        <v>Nov</v>
      </c>
      <c r="F87" s="23" t="str">
        <f t="shared" si="1"/>
        <v>In Transit</v>
      </c>
      <c r="G87" s="2" t="s">
        <v>93</v>
      </c>
      <c r="H87" s="2" t="s">
        <v>107</v>
      </c>
      <c r="I87" s="2" t="s">
        <v>46</v>
      </c>
      <c r="J87" s="34">
        <v>210</v>
      </c>
      <c r="K87" s="3">
        <v>1</v>
      </c>
      <c r="L87" s="38">
        <v>210</v>
      </c>
      <c r="M87" s="2" t="s">
        <v>29</v>
      </c>
      <c r="N87" s="13" t="s">
        <v>30</v>
      </c>
      <c r="O87" s="27" t="str">
        <f>_xlfn.XLOOKUP(tbl_sale[[#This Row],[Customer ID]],CustomerMaster!A:A,CustomerMaster!B:B,"NA",0)</f>
        <v>Liam Walker</v>
      </c>
      <c r="P87" s="27" t="str">
        <f>_xlfn.XLOOKUP(tbl_sale[[#This Row],[Product ID]],ProductMaster!$A$2:$A$23,ProductMaster!$B$2:$B$23,"NA",0)</f>
        <v>Cookware Set Pro</v>
      </c>
      <c r="Q87" s="27" t="str">
        <f>_xlfn.XLOOKUP(tbl_sale[[#This Row],[Product ID]],ProductMaster!$A$2:$A$23,ProductMaster!$C$2:$C$23,"NA",0)</f>
        <v>Home</v>
      </c>
      <c r="R87" s="27" t="str">
        <f>IFERROR(IF(tbl_sale[[#This Row],[Delivery Date]]="","Pending",IF(tbl_sale[[#This Row],[Delivery Date]]-tbl_sale[[#This Row],[Order Date]]&lt;= 2,"Fast","Slow")),"Error")</f>
        <v>Pending</v>
      </c>
      <c r="S87" s="27">
        <f>_xlfn.XLOOKUP(tbl_sale[[#This Row],[Region]],RegionGoals!$A$2:$A$6,RegionGoals!$B$2:$B$6, ,0)</f>
        <v>90750</v>
      </c>
      <c r="T87" s="27" t="str">
        <f>_xlfn.XLOOKUP(tbl_sale[[#This Row],[Customer ID]],CustomerMaster!$A:$A,CustomerMaster!$C:$C,"NA",0)</f>
        <v>Prime</v>
      </c>
      <c r="U87" s="27">
        <f>IF(tbl_sale[[#This Row],[Delivery Status]]="Cancelled",1,0)</f>
        <v>0</v>
      </c>
      <c r="V87" s="27">
        <f>IF(tbl_sale[[#This Row],[Order ID]]&lt;&gt;"",1,0)</f>
        <v>1</v>
      </c>
      <c r="W87" s="27">
        <f>IF(AND(tbl_sale[[#This Row],[Delivery Status]]="Delivered",tbl_sale[[#This Row],[Delivery Performance]]="Fast"),1,0)</f>
        <v>0</v>
      </c>
      <c r="X87" s="27">
        <f>IF(tbl_sale[[#This Row],[Delivery Status]]="Delivered",1,0)</f>
        <v>0</v>
      </c>
    </row>
    <row r="88" spans="1:24" ht="18" customHeight="1" x14ac:dyDescent="0.3">
      <c r="A88" s="12" t="s">
        <v>173</v>
      </c>
      <c r="B88" s="23">
        <v>45252</v>
      </c>
      <c r="C88" s="23"/>
      <c r="D88" s="23"/>
      <c r="E88" s="23" t="str">
        <f>TEXT(tbl_sale[[#This Row],[Order Date]],"MMM")</f>
        <v>Nov</v>
      </c>
      <c r="F88" s="23" t="str">
        <f t="shared" si="1"/>
        <v>In Transit</v>
      </c>
      <c r="G88" s="2" t="s">
        <v>174</v>
      </c>
      <c r="H88" s="2" t="s">
        <v>45</v>
      </c>
      <c r="I88" s="2" t="s">
        <v>25</v>
      </c>
      <c r="J88" s="34">
        <v>37</v>
      </c>
      <c r="K88" s="3">
        <v>3</v>
      </c>
      <c r="L88" s="38">
        <v>111</v>
      </c>
      <c r="M88" s="2" t="s">
        <v>22</v>
      </c>
      <c r="N88" s="13" t="s">
        <v>30</v>
      </c>
      <c r="O88" s="27" t="str">
        <f>_xlfn.XLOOKUP(tbl_sale[[#This Row],[Customer ID]],CustomerMaster!A:A,CustomerMaster!B:B,"NA",0)</f>
        <v>Lily Reed</v>
      </c>
      <c r="P88" s="27" t="str">
        <f>_xlfn.XLOOKUP(tbl_sale[[#This Row],[Product ID]],ProductMaster!$A$2:$A$23,ProductMaster!$B$2:$B$23,"NA",0)</f>
        <v>Wall Clock</v>
      </c>
      <c r="Q88" s="27" t="str">
        <f>_xlfn.XLOOKUP(tbl_sale[[#This Row],[Product ID]],ProductMaster!$A$2:$A$23,ProductMaster!$C$2:$C$23,"NA",0)</f>
        <v>Home</v>
      </c>
      <c r="R88" s="27" t="str">
        <f>IFERROR(IF(tbl_sale[[#This Row],[Delivery Date]]="","Pending",IF(tbl_sale[[#This Row],[Delivery Date]]-tbl_sale[[#This Row],[Order Date]]&lt;= 2,"Fast","Slow")),"Error")</f>
        <v>Pending</v>
      </c>
      <c r="S88" s="27">
        <f>_xlfn.XLOOKUP(tbl_sale[[#This Row],[Region]],RegionGoals!$A$2:$A$6,RegionGoals!$B$2:$B$6, ,0)</f>
        <v>91500</v>
      </c>
      <c r="T88" s="27" t="str">
        <f>_xlfn.XLOOKUP(tbl_sale[[#This Row],[Customer ID]],CustomerMaster!$A:$A,CustomerMaster!$C:$C,"NA",0)</f>
        <v>Individual</v>
      </c>
      <c r="U88" s="27">
        <f>IF(tbl_sale[[#This Row],[Delivery Status]]="Cancelled",1,0)</f>
        <v>0</v>
      </c>
      <c r="V88" s="27">
        <f>IF(tbl_sale[[#This Row],[Order ID]]&lt;&gt;"",1,0)</f>
        <v>1</v>
      </c>
      <c r="W88" s="27">
        <f>IF(AND(tbl_sale[[#This Row],[Delivery Status]]="Delivered",tbl_sale[[#This Row],[Delivery Performance]]="Fast"),1,0)</f>
        <v>0</v>
      </c>
      <c r="X88" s="27">
        <f>IF(tbl_sale[[#This Row],[Delivery Status]]="Delivered",1,0)</f>
        <v>0</v>
      </c>
    </row>
    <row r="89" spans="1:24" ht="18" customHeight="1" x14ac:dyDescent="0.3">
      <c r="A89" s="12" t="s">
        <v>175</v>
      </c>
      <c r="B89" s="23">
        <v>45054</v>
      </c>
      <c r="C89" s="23"/>
      <c r="D89" s="23"/>
      <c r="E89" s="23" t="str">
        <f>TEXT(tbl_sale[[#This Row],[Order Date]],"MMM")</f>
        <v>May</v>
      </c>
      <c r="F89" s="23" t="str">
        <f t="shared" si="1"/>
        <v>In Transit</v>
      </c>
      <c r="G89" s="2" t="s">
        <v>93</v>
      </c>
      <c r="H89" s="2" t="s">
        <v>77</v>
      </c>
      <c r="I89" s="2" t="s">
        <v>25</v>
      </c>
      <c r="J89" s="34">
        <v>788</v>
      </c>
      <c r="K89" s="3">
        <v>4</v>
      </c>
      <c r="L89" s="38">
        <v>3152</v>
      </c>
      <c r="M89" s="2" t="s">
        <v>42</v>
      </c>
      <c r="N89" s="13" t="s">
        <v>34</v>
      </c>
      <c r="O89" s="27" t="str">
        <f>_xlfn.XLOOKUP(tbl_sale[[#This Row],[Customer ID]],CustomerMaster!A:A,CustomerMaster!B:B,"NA",0)</f>
        <v>Liam Walker</v>
      </c>
      <c r="P89" s="27" t="str">
        <f>_xlfn.XLOOKUP(tbl_sale[[#This Row],[Product ID]],ProductMaster!$A$2:$A$23,ProductMaster!$B$2:$B$23,"NA",0)</f>
        <v>Smartphone</v>
      </c>
      <c r="Q89" s="27" t="str">
        <f>_xlfn.XLOOKUP(tbl_sale[[#This Row],[Product ID]],ProductMaster!$A$2:$A$23,ProductMaster!$C$2:$C$23,"NA",0)</f>
        <v>Electronics</v>
      </c>
      <c r="R89" s="27" t="str">
        <f>IFERROR(IF(tbl_sale[[#This Row],[Delivery Date]]="","Pending",IF(tbl_sale[[#This Row],[Delivery Date]]-tbl_sale[[#This Row],[Order Date]]&lt;= 2,"Fast","Slow")),"Error")</f>
        <v>Pending</v>
      </c>
      <c r="S89" s="27">
        <f>_xlfn.XLOOKUP(tbl_sale[[#This Row],[Region]],RegionGoals!$A$2:$A$6,RegionGoals!$B$2:$B$6, ,0)</f>
        <v>91500</v>
      </c>
      <c r="T89" s="27" t="str">
        <f>_xlfn.XLOOKUP(tbl_sale[[#This Row],[Customer ID]],CustomerMaster!$A:$A,CustomerMaster!$C:$C,"NA",0)</f>
        <v>Prime</v>
      </c>
      <c r="U89" s="27">
        <f>IF(tbl_sale[[#This Row],[Delivery Status]]="Cancelled",1,0)</f>
        <v>0</v>
      </c>
      <c r="V89" s="27">
        <f>IF(tbl_sale[[#This Row],[Order ID]]&lt;&gt;"",1,0)</f>
        <v>1</v>
      </c>
      <c r="W89" s="27">
        <f>IF(AND(tbl_sale[[#This Row],[Delivery Status]]="Delivered",tbl_sale[[#This Row],[Delivery Performance]]="Fast"),1,0)</f>
        <v>0</v>
      </c>
      <c r="X89" s="27">
        <f>IF(tbl_sale[[#This Row],[Delivery Status]]="Delivered",1,0)</f>
        <v>0</v>
      </c>
    </row>
    <row r="90" spans="1:24" ht="18" customHeight="1" x14ac:dyDescent="0.3">
      <c r="A90" s="12" t="s">
        <v>176</v>
      </c>
      <c r="B90" s="23">
        <v>45120</v>
      </c>
      <c r="C90" s="23"/>
      <c r="D90" s="23"/>
      <c r="E90" s="23" t="str">
        <f>TEXT(tbl_sale[[#This Row],[Order Date]],"MMM")</f>
        <v>Jul</v>
      </c>
      <c r="F90" s="23" t="str">
        <f t="shared" si="1"/>
        <v>In Transit</v>
      </c>
      <c r="G90" s="2" t="s">
        <v>93</v>
      </c>
      <c r="H90" s="2" t="s">
        <v>107</v>
      </c>
      <c r="I90" s="2" t="s">
        <v>46</v>
      </c>
      <c r="J90" s="34">
        <v>217</v>
      </c>
      <c r="K90" s="3">
        <v>5</v>
      </c>
      <c r="L90" s="38">
        <v>1085</v>
      </c>
      <c r="M90" s="2" t="s">
        <v>42</v>
      </c>
      <c r="N90" s="13" t="s">
        <v>57</v>
      </c>
      <c r="O90" s="27" t="str">
        <f>_xlfn.XLOOKUP(tbl_sale[[#This Row],[Customer ID]],CustomerMaster!A:A,CustomerMaster!B:B,"NA",0)</f>
        <v>Liam Walker</v>
      </c>
      <c r="P90" s="27" t="str">
        <f>_xlfn.XLOOKUP(tbl_sale[[#This Row],[Product ID]],ProductMaster!$A$2:$A$23,ProductMaster!$B$2:$B$23,"NA",0)</f>
        <v>Cookware Set Pro</v>
      </c>
      <c r="Q90" s="27" t="str">
        <f>_xlfn.XLOOKUP(tbl_sale[[#This Row],[Product ID]],ProductMaster!$A$2:$A$23,ProductMaster!$C$2:$C$23,"NA",0)</f>
        <v>Home</v>
      </c>
      <c r="R90" s="27" t="str">
        <f>IFERROR(IF(tbl_sale[[#This Row],[Delivery Date]]="","Pending",IF(tbl_sale[[#This Row],[Delivery Date]]-tbl_sale[[#This Row],[Order Date]]&lt;= 2,"Fast","Slow")),"Error")</f>
        <v>Pending</v>
      </c>
      <c r="S90" s="27">
        <f>_xlfn.XLOOKUP(tbl_sale[[#This Row],[Region]],RegionGoals!$A$2:$A$6,RegionGoals!$B$2:$B$6, ,0)</f>
        <v>90750</v>
      </c>
      <c r="T90" s="27" t="str">
        <f>_xlfn.XLOOKUP(tbl_sale[[#This Row],[Customer ID]],CustomerMaster!$A:$A,CustomerMaster!$C:$C,"NA",0)</f>
        <v>Prime</v>
      </c>
      <c r="U90" s="27">
        <f>IF(tbl_sale[[#This Row],[Delivery Status]]="Cancelled",1,0)</f>
        <v>0</v>
      </c>
      <c r="V90" s="27">
        <f>IF(tbl_sale[[#This Row],[Order ID]]&lt;&gt;"",1,0)</f>
        <v>1</v>
      </c>
      <c r="W90" s="27">
        <f>IF(AND(tbl_sale[[#This Row],[Delivery Status]]="Delivered",tbl_sale[[#This Row],[Delivery Performance]]="Fast"),1,0)</f>
        <v>0</v>
      </c>
      <c r="X90" s="27">
        <f>IF(tbl_sale[[#This Row],[Delivery Status]]="Delivered",1,0)</f>
        <v>0</v>
      </c>
    </row>
    <row r="91" spans="1:24" ht="18" customHeight="1" x14ac:dyDescent="0.3">
      <c r="A91" s="12" t="s">
        <v>177</v>
      </c>
      <c r="B91" s="23">
        <v>44944</v>
      </c>
      <c r="C91" s="23"/>
      <c r="D91" s="23"/>
      <c r="E91" s="23" t="str">
        <f>TEXT(tbl_sale[[#This Row],[Order Date]],"MMM")</f>
        <v>Jan</v>
      </c>
      <c r="F91" s="23" t="str">
        <f t="shared" si="1"/>
        <v>In Transit</v>
      </c>
      <c r="G91" s="2" t="s">
        <v>93</v>
      </c>
      <c r="H91" s="2" t="s">
        <v>51</v>
      </c>
      <c r="I91" s="2" t="s">
        <v>46</v>
      </c>
      <c r="J91" s="34">
        <v>138</v>
      </c>
      <c r="K91" s="3">
        <v>4</v>
      </c>
      <c r="L91" s="38">
        <v>552</v>
      </c>
      <c r="M91" s="2" t="s">
        <v>22</v>
      </c>
      <c r="N91" s="13" t="s">
        <v>57</v>
      </c>
      <c r="O91" s="27" t="str">
        <f>_xlfn.XLOOKUP(tbl_sale[[#This Row],[Customer ID]],CustomerMaster!A:A,CustomerMaster!B:B,"NA",0)</f>
        <v>Liam Walker</v>
      </c>
      <c r="P91" s="27" t="str">
        <f>_xlfn.XLOOKUP(tbl_sale[[#This Row],[Product ID]],ProductMaster!$A$2:$A$23,ProductMaster!$B$2:$B$23,"NA",0)</f>
        <v>Cookware Set</v>
      </c>
      <c r="Q91" s="27" t="str">
        <f>_xlfn.XLOOKUP(tbl_sale[[#This Row],[Product ID]],ProductMaster!$A$2:$A$23,ProductMaster!$C$2:$C$23,"NA",0)</f>
        <v>Home</v>
      </c>
      <c r="R91" s="27" t="str">
        <f>IFERROR(IF(tbl_sale[[#This Row],[Delivery Date]]="","Pending",IF(tbl_sale[[#This Row],[Delivery Date]]-tbl_sale[[#This Row],[Order Date]]&lt;= 2,"Fast","Slow")),"Error")</f>
        <v>Pending</v>
      </c>
      <c r="S91" s="27">
        <f>_xlfn.XLOOKUP(tbl_sale[[#This Row],[Region]],RegionGoals!$A$2:$A$6,RegionGoals!$B$2:$B$6, ,0)</f>
        <v>90750</v>
      </c>
      <c r="T91" s="27" t="str">
        <f>_xlfn.XLOOKUP(tbl_sale[[#This Row],[Customer ID]],CustomerMaster!$A:$A,CustomerMaster!$C:$C,"NA",0)</f>
        <v>Prime</v>
      </c>
      <c r="U91" s="27">
        <f>IF(tbl_sale[[#This Row],[Delivery Status]]="Cancelled",1,0)</f>
        <v>0</v>
      </c>
      <c r="V91" s="27">
        <f>IF(tbl_sale[[#This Row],[Order ID]]&lt;&gt;"",1,0)</f>
        <v>1</v>
      </c>
      <c r="W91" s="27">
        <f>IF(AND(tbl_sale[[#This Row],[Delivery Status]]="Delivered",tbl_sale[[#This Row],[Delivery Performance]]="Fast"),1,0)</f>
        <v>0</v>
      </c>
      <c r="X91" s="27">
        <f>IF(tbl_sale[[#This Row],[Delivery Status]]="Delivered",1,0)</f>
        <v>0</v>
      </c>
    </row>
    <row r="92" spans="1:24" ht="18" customHeight="1" x14ac:dyDescent="0.3">
      <c r="A92" s="12" t="s">
        <v>178</v>
      </c>
      <c r="B92" s="23">
        <v>45100</v>
      </c>
      <c r="C92" s="23">
        <v>45106</v>
      </c>
      <c r="D92" s="23"/>
      <c r="E92" s="23" t="str">
        <f>TEXT(tbl_sale[[#This Row],[Order Date]],"MMM")</f>
        <v>Jun</v>
      </c>
      <c r="F92" s="23" t="str">
        <f t="shared" si="1"/>
        <v>Delivered</v>
      </c>
      <c r="G92" s="2" t="s">
        <v>179</v>
      </c>
      <c r="H92" s="2" t="s">
        <v>77</v>
      </c>
      <c r="I92" s="2" t="s">
        <v>41</v>
      </c>
      <c r="J92" s="34">
        <v>803</v>
      </c>
      <c r="K92" s="3">
        <v>2</v>
      </c>
      <c r="L92" s="38">
        <v>1606</v>
      </c>
      <c r="M92" s="2" t="s">
        <v>16</v>
      </c>
      <c r="N92" s="13" t="s">
        <v>57</v>
      </c>
      <c r="O92" s="27" t="str">
        <f>_xlfn.XLOOKUP(tbl_sale[[#This Row],[Customer ID]],CustomerMaster!A:A,CustomerMaster!B:B,"NA",0)</f>
        <v>Mason Collins</v>
      </c>
      <c r="P92" s="27" t="str">
        <f>_xlfn.XLOOKUP(tbl_sale[[#This Row],[Product ID]],ProductMaster!$A$2:$A$23,ProductMaster!$B$2:$B$23,"NA",0)</f>
        <v>Smartphone</v>
      </c>
      <c r="Q92" s="27" t="str">
        <f>_xlfn.XLOOKUP(tbl_sale[[#This Row],[Product ID]],ProductMaster!$A$2:$A$23,ProductMaster!$C$2:$C$23,"NA",0)</f>
        <v>Electronics</v>
      </c>
      <c r="R92" s="27" t="str">
        <f>IFERROR(IF(tbl_sale[[#This Row],[Delivery Date]]="","Pending",IF(tbl_sale[[#This Row],[Delivery Date]]-tbl_sale[[#This Row],[Order Date]]&lt;= 2,"Fast","Slow")),"Error")</f>
        <v>Slow</v>
      </c>
      <c r="S92" s="27">
        <f>_xlfn.XLOOKUP(tbl_sale[[#This Row],[Region]],RegionGoals!$A$2:$A$6,RegionGoals!$B$2:$B$6, ,0)</f>
        <v>97500</v>
      </c>
      <c r="T92" s="27" t="str">
        <f>_xlfn.XLOOKUP(tbl_sale[[#This Row],[Customer ID]],CustomerMaster!$A:$A,CustomerMaster!$C:$C,"NA",0)</f>
        <v>Business</v>
      </c>
      <c r="U92" s="27">
        <f>IF(tbl_sale[[#This Row],[Delivery Status]]="Cancelled",1,0)</f>
        <v>0</v>
      </c>
      <c r="V92" s="27">
        <f>IF(tbl_sale[[#This Row],[Order ID]]&lt;&gt;"",1,0)</f>
        <v>1</v>
      </c>
      <c r="W92" s="27">
        <f>IF(AND(tbl_sale[[#This Row],[Delivery Status]]="Delivered",tbl_sale[[#This Row],[Delivery Performance]]="Fast"),1,0)</f>
        <v>0</v>
      </c>
      <c r="X92" s="27">
        <f>IF(tbl_sale[[#This Row],[Delivery Status]]="Delivered",1,0)</f>
        <v>1</v>
      </c>
    </row>
    <row r="93" spans="1:24" ht="18" customHeight="1" x14ac:dyDescent="0.3">
      <c r="A93" s="12" t="s">
        <v>180</v>
      </c>
      <c r="B93" s="23">
        <v>44978</v>
      </c>
      <c r="C93" s="23"/>
      <c r="D93" s="23">
        <v>44982</v>
      </c>
      <c r="E93" s="23" t="str">
        <f>TEXT(tbl_sale[[#This Row],[Order Date]],"MMM")</f>
        <v>Feb</v>
      </c>
      <c r="F93" s="23" t="str">
        <f t="shared" si="1"/>
        <v>Cancelled</v>
      </c>
      <c r="G93" s="2" t="s">
        <v>48</v>
      </c>
      <c r="H93" s="2" t="s">
        <v>54</v>
      </c>
      <c r="I93" s="2" t="s">
        <v>15</v>
      </c>
      <c r="J93" s="34">
        <v>248</v>
      </c>
      <c r="K93" s="3">
        <v>5</v>
      </c>
      <c r="L93" s="38">
        <v>1240</v>
      </c>
      <c r="M93" s="2" t="s">
        <v>29</v>
      </c>
      <c r="N93" s="13" t="s">
        <v>30</v>
      </c>
      <c r="O93" s="27" t="str">
        <f>_xlfn.XLOOKUP(tbl_sale[[#This Row],[Customer ID]],CustomerMaster!A:A,CustomerMaster!B:B,"NA",0)</f>
        <v>Olivia Martinez</v>
      </c>
      <c r="P93" s="27" t="str">
        <f>_xlfn.XLOOKUP(tbl_sale[[#This Row],[Product ID]],ProductMaster!$A$2:$A$23,ProductMaster!$B$2:$B$23,"NA",0)</f>
        <v>Smartwatch</v>
      </c>
      <c r="Q93" s="27" t="str">
        <f>_xlfn.XLOOKUP(tbl_sale[[#This Row],[Product ID]],ProductMaster!$A$2:$A$23,ProductMaster!$C$2:$C$23,"NA",0)</f>
        <v>Electronics</v>
      </c>
      <c r="R93" s="27" t="str">
        <f>IFERROR(IF(tbl_sale[[#This Row],[Delivery Date]]="","Pending",IF(tbl_sale[[#This Row],[Delivery Date]]-tbl_sale[[#This Row],[Order Date]]&lt;= 2,"Fast","Slow")),"Error")</f>
        <v>Pending</v>
      </c>
      <c r="S93" s="27">
        <f>_xlfn.XLOOKUP(tbl_sale[[#This Row],[Region]],RegionGoals!$A$2:$A$6,RegionGoals!$B$2:$B$6, ,0)</f>
        <v>105000</v>
      </c>
      <c r="T93" s="27" t="str">
        <f>_xlfn.XLOOKUP(tbl_sale[[#This Row],[Customer ID]],CustomerMaster!$A:$A,CustomerMaster!$C:$C,"NA",0)</f>
        <v>Prime</v>
      </c>
      <c r="U93" s="27">
        <f>IF(tbl_sale[[#This Row],[Delivery Status]]="Cancelled",1,0)</f>
        <v>1</v>
      </c>
      <c r="V93" s="27">
        <f>IF(tbl_sale[[#This Row],[Order ID]]&lt;&gt;"",1,0)</f>
        <v>1</v>
      </c>
      <c r="W93" s="27">
        <f>IF(AND(tbl_sale[[#This Row],[Delivery Status]]="Delivered",tbl_sale[[#This Row],[Delivery Performance]]="Fast"),1,0)</f>
        <v>0</v>
      </c>
      <c r="X93" s="27">
        <f>IF(tbl_sale[[#This Row],[Delivery Status]]="Delivered",1,0)</f>
        <v>0</v>
      </c>
    </row>
    <row r="94" spans="1:24" ht="18" customHeight="1" x14ac:dyDescent="0.3">
      <c r="A94" s="12" t="s">
        <v>181</v>
      </c>
      <c r="B94" s="23">
        <v>44976</v>
      </c>
      <c r="C94" s="23">
        <v>44978</v>
      </c>
      <c r="D94" s="23"/>
      <c r="E94" s="23" t="str">
        <f>TEXT(tbl_sale[[#This Row],[Order Date]],"MMM")</f>
        <v>Feb</v>
      </c>
      <c r="F94" s="23" t="str">
        <f t="shared" si="1"/>
        <v>Delivered</v>
      </c>
      <c r="G94" s="2" t="s">
        <v>182</v>
      </c>
      <c r="H94" s="2" t="s">
        <v>107</v>
      </c>
      <c r="I94" s="2" t="s">
        <v>21</v>
      </c>
      <c r="J94" s="34">
        <v>210</v>
      </c>
      <c r="K94" s="3">
        <v>3</v>
      </c>
      <c r="L94" s="38">
        <v>630</v>
      </c>
      <c r="M94" s="2" t="s">
        <v>16</v>
      </c>
      <c r="N94" s="13" t="s">
        <v>17</v>
      </c>
      <c r="O94" s="27" t="str">
        <f>_xlfn.XLOOKUP(tbl_sale[[#This Row],[Customer ID]],CustomerMaster!A:A,CustomerMaster!B:B,"NA",0)</f>
        <v>Ethan Davis</v>
      </c>
      <c r="P94" s="27" t="str">
        <f>_xlfn.XLOOKUP(tbl_sale[[#This Row],[Product ID]],ProductMaster!$A$2:$A$23,ProductMaster!$B$2:$B$23,"NA",0)</f>
        <v>Cookware Set Pro</v>
      </c>
      <c r="Q94" s="27" t="str">
        <f>_xlfn.XLOOKUP(tbl_sale[[#This Row],[Product ID]],ProductMaster!$A$2:$A$23,ProductMaster!$C$2:$C$23,"NA",0)</f>
        <v>Home</v>
      </c>
      <c r="R94" s="27" t="str">
        <f>IFERROR(IF(tbl_sale[[#This Row],[Delivery Date]]="","Pending",IF(tbl_sale[[#This Row],[Delivery Date]]-tbl_sale[[#This Row],[Order Date]]&lt;= 2,"Fast","Slow")),"Error")</f>
        <v>Fast</v>
      </c>
      <c r="S94" s="27">
        <f>_xlfn.XLOOKUP(tbl_sale[[#This Row],[Region]],RegionGoals!$A$2:$A$6,RegionGoals!$B$2:$B$6, ,0)</f>
        <v>50500</v>
      </c>
      <c r="T94" s="27" t="str">
        <f>_xlfn.XLOOKUP(tbl_sale[[#This Row],[Customer ID]],CustomerMaster!$A:$A,CustomerMaster!$C:$C,"NA",0)</f>
        <v>Business</v>
      </c>
      <c r="U94" s="27">
        <f>IF(tbl_sale[[#This Row],[Delivery Status]]="Cancelled",1,0)</f>
        <v>0</v>
      </c>
      <c r="V94" s="27">
        <f>IF(tbl_sale[[#This Row],[Order ID]]&lt;&gt;"",1,0)</f>
        <v>1</v>
      </c>
      <c r="W94" s="27">
        <f>IF(AND(tbl_sale[[#This Row],[Delivery Status]]="Delivered",tbl_sale[[#This Row],[Delivery Performance]]="Fast"),1,0)</f>
        <v>1</v>
      </c>
      <c r="X94" s="27">
        <f>IF(tbl_sale[[#This Row],[Delivery Status]]="Delivered",1,0)</f>
        <v>1</v>
      </c>
    </row>
    <row r="95" spans="1:24" ht="18" customHeight="1" x14ac:dyDescent="0.3">
      <c r="A95" s="12" t="s">
        <v>183</v>
      </c>
      <c r="B95" s="23">
        <v>45265</v>
      </c>
      <c r="C95" s="23"/>
      <c r="D95" s="23">
        <v>45272</v>
      </c>
      <c r="E95" s="23" t="str">
        <f>TEXT(tbl_sale[[#This Row],[Order Date]],"MMM")</f>
        <v>Dec</v>
      </c>
      <c r="F95" s="23" t="str">
        <f t="shared" si="1"/>
        <v>Cancelled</v>
      </c>
      <c r="G95" s="2" t="s">
        <v>48</v>
      </c>
      <c r="H95" s="2" t="s">
        <v>115</v>
      </c>
      <c r="I95" s="2" t="s">
        <v>15</v>
      </c>
      <c r="J95" s="34">
        <v>62</v>
      </c>
      <c r="K95" s="3">
        <v>2</v>
      </c>
      <c r="L95" s="38">
        <v>124</v>
      </c>
      <c r="M95" s="2" t="s">
        <v>22</v>
      </c>
      <c r="N95" s="13" t="s">
        <v>57</v>
      </c>
      <c r="O95" s="27" t="str">
        <f>_xlfn.XLOOKUP(tbl_sale[[#This Row],[Customer ID]],CustomerMaster!A:A,CustomerMaster!B:B,"NA",0)</f>
        <v>Olivia Martinez</v>
      </c>
      <c r="P95" s="27" t="str">
        <f>_xlfn.XLOOKUP(tbl_sale[[#This Row],[Product ID]],ProductMaster!$A$2:$A$23,ProductMaster!$B$2:$B$23,"NA",0)</f>
        <v>Leg Set</v>
      </c>
      <c r="Q95" s="27" t="str">
        <f>_xlfn.XLOOKUP(tbl_sale[[#This Row],[Product ID]],ProductMaster!$A$2:$A$23,ProductMaster!$C$2:$C$23,"NA",0)</f>
        <v>Toys</v>
      </c>
      <c r="R95" s="27" t="str">
        <f>IFERROR(IF(tbl_sale[[#This Row],[Delivery Date]]="","Pending",IF(tbl_sale[[#This Row],[Delivery Date]]-tbl_sale[[#This Row],[Order Date]]&lt;= 2,"Fast","Slow")),"Error")</f>
        <v>Pending</v>
      </c>
      <c r="S95" s="27">
        <f>_xlfn.XLOOKUP(tbl_sale[[#This Row],[Region]],RegionGoals!$A$2:$A$6,RegionGoals!$B$2:$B$6, ,0)</f>
        <v>105000</v>
      </c>
      <c r="T95" s="27" t="str">
        <f>_xlfn.XLOOKUP(tbl_sale[[#This Row],[Customer ID]],CustomerMaster!$A:$A,CustomerMaster!$C:$C,"NA",0)</f>
        <v>Prime</v>
      </c>
      <c r="U95" s="27">
        <f>IF(tbl_sale[[#This Row],[Delivery Status]]="Cancelled",1,0)</f>
        <v>1</v>
      </c>
      <c r="V95" s="27">
        <f>IF(tbl_sale[[#This Row],[Order ID]]&lt;&gt;"",1,0)</f>
        <v>1</v>
      </c>
      <c r="W95" s="27">
        <f>IF(AND(tbl_sale[[#This Row],[Delivery Status]]="Delivered",tbl_sale[[#This Row],[Delivery Performance]]="Fast"),1,0)</f>
        <v>0</v>
      </c>
      <c r="X95" s="27">
        <f>IF(tbl_sale[[#This Row],[Delivery Status]]="Delivered",1,0)</f>
        <v>0</v>
      </c>
    </row>
    <row r="96" spans="1:24" ht="18" customHeight="1" x14ac:dyDescent="0.3">
      <c r="A96" s="12" t="s">
        <v>184</v>
      </c>
      <c r="B96" s="23">
        <v>45084</v>
      </c>
      <c r="C96" s="23"/>
      <c r="D96" s="23">
        <v>45089</v>
      </c>
      <c r="E96" s="23" t="str">
        <f>TEXT(tbl_sale[[#This Row],[Order Date]],"MMM")</f>
        <v>Jun</v>
      </c>
      <c r="F96" s="23" t="str">
        <f t="shared" si="1"/>
        <v>Cancelled</v>
      </c>
      <c r="G96" s="2" t="s">
        <v>174</v>
      </c>
      <c r="H96" s="2" t="s">
        <v>100</v>
      </c>
      <c r="I96" s="2" t="s">
        <v>25</v>
      </c>
      <c r="J96" s="34">
        <v>11</v>
      </c>
      <c r="K96" s="3">
        <v>5</v>
      </c>
      <c r="L96" s="38">
        <v>55</v>
      </c>
      <c r="M96" s="2" t="s">
        <v>42</v>
      </c>
      <c r="N96" s="13" t="s">
        <v>34</v>
      </c>
      <c r="O96" s="27" t="str">
        <f>_xlfn.XLOOKUP(tbl_sale[[#This Row],[Customer ID]],CustomerMaster!A:A,CustomerMaster!B:B,"NA",0)</f>
        <v>Lily Reed</v>
      </c>
      <c r="P96" s="27" t="str">
        <f>_xlfn.XLOOKUP(tbl_sale[[#This Row],[Product ID]],ProductMaster!$A$2:$A$23,ProductMaster!$B$2:$B$23,"NA",0)</f>
        <v>Magazine</v>
      </c>
      <c r="Q96" s="27" t="str">
        <f>_xlfn.XLOOKUP(tbl_sale[[#This Row],[Product ID]],ProductMaster!$A$2:$A$23,ProductMaster!$C$2:$C$23,"NA",0)</f>
        <v>Books</v>
      </c>
      <c r="R96" s="27" t="str">
        <f>IFERROR(IF(tbl_sale[[#This Row],[Delivery Date]]="","Pending",IF(tbl_sale[[#This Row],[Delivery Date]]-tbl_sale[[#This Row],[Order Date]]&lt;= 2,"Fast","Slow")),"Error")</f>
        <v>Pending</v>
      </c>
      <c r="S96" s="27">
        <f>_xlfn.XLOOKUP(tbl_sale[[#This Row],[Region]],RegionGoals!$A$2:$A$6,RegionGoals!$B$2:$B$6, ,0)</f>
        <v>91500</v>
      </c>
      <c r="T96" s="27" t="str">
        <f>_xlfn.XLOOKUP(tbl_sale[[#This Row],[Customer ID]],CustomerMaster!$A:$A,CustomerMaster!$C:$C,"NA",0)</f>
        <v>Individual</v>
      </c>
      <c r="U96" s="27">
        <f>IF(tbl_sale[[#This Row],[Delivery Status]]="Cancelled",1,0)</f>
        <v>1</v>
      </c>
      <c r="V96" s="27">
        <f>IF(tbl_sale[[#This Row],[Order ID]]&lt;&gt;"",1,0)</f>
        <v>1</v>
      </c>
      <c r="W96" s="27">
        <f>IF(AND(tbl_sale[[#This Row],[Delivery Status]]="Delivered",tbl_sale[[#This Row],[Delivery Performance]]="Fast"),1,0)</f>
        <v>0</v>
      </c>
      <c r="X96" s="27">
        <f>IF(tbl_sale[[#This Row],[Delivery Status]]="Delivered",1,0)</f>
        <v>0</v>
      </c>
    </row>
    <row r="97" spans="1:24" ht="18" customHeight="1" x14ac:dyDescent="0.3">
      <c r="A97" s="12" t="s">
        <v>185</v>
      </c>
      <c r="B97" s="23">
        <v>45116</v>
      </c>
      <c r="C97" s="23">
        <v>45119</v>
      </c>
      <c r="D97" s="23"/>
      <c r="E97" s="23" t="str">
        <f>TEXT(tbl_sale[[#This Row],[Order Date]],"MMM")</f>
        <v>Jul</v>
      </c>
      <c r="F97" s="23" t="str">
        <f t="shared" si="1"/>
        <v>Delivered</v>
      </c>
      <c r="G97" s="2" t="s">
        <v>135</v>
      </c>
      <c r="H97" s="2" t="s">
        <v>69</v>
      </c>
      <c r="I97" s="2" t="s">
        <v>15</v>
      </c>
      <c r="J97" s="34">
        <v>21</v>
      </c>
      <c r="K97" s="3">
        <v>2</v>
      </c>
      <c r="L97" s="38">
        <v>42</v>
      </c>
      <c r="M97" s="2" t="s">
        <v>37</v>
      </c>
      <c r="N97" s="13" t="s">
        <v>30</v>
      </c>
      <c r="O97" s="27" t="str">
        <f>_xlfn.XLOOKUP(tbl_sale[[#This Row],[Customer ID]],CustomerMaster!A:A,CustomerMaster!B:B,"NA",0)</f>
        <v>Emma King</v>
      </c>
      <c r="P97" s="27" t="str">
        <f>_xlfn.XLOOKUP(tbl_sale[[#This Row],[Product ID]],ProductMaster!$A$2:$A$23,ProductMaster!$B$2:$B$23,"NA",0)</f>
        <v>Novel</v>
      </c>
      <c r="Q97" s="27" t="str">
        <f>_xlfn.XLOOKUP(tbl_sale[[#This Row],[Product ID]],ProductMaster!$A$2:$A$23,ProductMaster!$C$2:$C$23,"NA",0)</f>
        <v>Books</v>
      </c>
      <c r="R97" s="27" t="str">
        <f>IFERROR(IF(tbl_sale[[#This Row],[Delivery Date]]="","Pending",IF(tbl_sale[[#This Row],[Delivery Date]]-tbl_sale[[#This Row],[Order Date]]&lt;= 2,"Fast","Slow")),"Error")</f>
        <v>Slow</v>
      </c>
      <c r="S97" s="27">
        <f>_xlfn.XLOOKUP(tbl_sale[[#This Row],[Region]],RegionGoals!$A$2:$A$6,RegionGoals!$B$2:$B$6, ,0)</f>
        <v>105000</v>
      </c>
      <c r="T97" s="27" t="str">
        <f>_xlfn.XLOOKUP(tbl_sale[[#This Row],[Customer ID]],CustomerMaster!$A:$A,CustomerMaster!$C:$C,"NA",0)</f>
        <v>Business</v>
      </c>
      <c r="U97" s="27">
        <f>IF(tbl_sale[[#This Row],[Delivery Status]]="Cancelled",1,0)</f>
        <v>0</v>
      </c>
      <c r="V97" s="27">
        <f>IF(tbl_sale[[#This Row],[Order ID]]&lt;&gt;"",1,0)</f>
        <v>1</v>
      </c>
      <c r="W97" s="27">
        <f>IF(AND(tbl_sale[[#This Row],[Delivery Status]]="Delivered",tbl_sale[[#This Row],[Delivery Performance]]="Fast"),1,0)</f>
        <v>0</v>
      </c>
      <c r="X97" s="27">
        <f>IF(tbl_sale[[#This Row],[Delivery Status]]="Delivered",1,0)</f>
        <v>1</v>
      </c>
    </row>
    <row r="98" spans="1:24" ht="18" customHeight="1" x14ac:dyDescent="0.3">
      <c r="A98" s="12" t="s">
        <v>186</v>
      </c>
      <c r="B98" s="23">
        <v>45283</v>
      </c>
      <c r="C98" s="23">
        <v>45286</v>
      </c>
      <c r="D98" s="23"/>
      <c r="E98" s="23" t="str">
        <f>TEXT(tbl_sale[[#This Row],[Order Date]],"MMM")</f>
        <v>Dec</v>
      </c>
      <c r="F98" s="23" t="str">
        <f t="shared" si="1"/>
        <v>Delivered</v>
      </c>
      <c r="G98" s="2" t="s">
        <v>59</v>
      </c>
      <c r="H98" s="2" t="s">
        <v>20</v>
      </c>
      <c r="I98" s="2" t="s">
        <v>46</v>
      </c>
      <c r="J98" s="34">
        <v>95</v>
      </c>
      <c r="K98" s="3">
        <v>5</v>
      </c>
      <c r="L98" s="38">
        <v>475</v>
      </c>
      <c r="M98" s="2" t="s">
        <v>37</v>
      </c>
      <c r="N98" s="13" t="s">
        <v>34</v>
      </c>
      <c r="O98" s="27" t="str">
        <f>_xlfn.XLOOKUP(tbl_sale[[#This Row],[Customer ID]],CustomerMaster!A:A,CustomerMaster!B:B,"NA",0)</f>
        <v>Charlotte Reed</v>
      </c>
      <c r="P98" s="27" t="str">
        <f>_xlfn.XLOOKUP(tbl_sale[[#This Row],[Product ID]],ProductMaster!$A$2:$A$23,ProductMaster!$B$2:$B$23,"NA",0)</f>
        <v>Doll House</v>
      </c>
      <c r="Q98" s="27" t="str">
        <f>_xlfn.XLOOKUP(tbl_sale[[#This Row],[Product ID]],ProductMaster!$A$2:$A$23,ProductMaster!$C$2:$C$23,"NA",0)</f>
        <v>Toys</v>
      </c>
      <c r="R98" s="27" t="str">
        <f>IFERROR(IF(tbl_sale[[#This Row],[Delivery Date]]="","Pending",IF(tbl_sale[[#This Row],[Delivery Date]]-tbl_sale[[#This Row],[Order Date]]&lt;= 2,"Fast","Slow")),"Error")</f>
        <v>Slow</v>
      </c>
      <c r="S98" s="27">
        <f>_xlfn.XLOOKUP(tbl_sale[[#This Row],[Region]],RegionGoals!$A$2:$A$6,RegionGoals!$B$2:$B$6, ,0)</f>
        <v>90750</v>
      </c>
      <c r="T98" s="27" t="str">
        <f>_xlfn.XLOOKUP(tbl_sale[[#This Row],[Customer ID]],CustomerMaster!$A:$A,CustomerMaster!$C:$C,"NA",0)</f>
        <v>Individual</v>
      </c>
      <c r="U98" s="27">
        <f>IF(tbl_sale[[#This Row],[Delivery Status]]="Cancelled",1,0)</f>
        <v>0</v>
      </c>
      <c r="V98" s="27">
        <f>IF(tbl_sale[[#This Row],[Order ID]]&lt;&gt;"",1,0)</f>
        <v>1</v>
      </c>
      <c r="W98" s="27">
        <f>IF(AND(tbl_sale[[#This Row],[Delivery Status]]="Delivered",tbl_sale[[#This Row],[Delivery Performance]]="Fast"),1,0)</f>
        <v>0</v>
      </c>
      <c r="X98" s="27">
        <f>IF(tbl_sale[[#This Row],[Delivery Status]]="Delivered",1,0)</f>
        <v>1</v>
      </c>
    </row>
    <row r="99" spans="1:24" ht="18" customHeight="1" x14ac:dyDescent="0.3">
      <c r="A99" s="12" t="s">
        <v>187</v>
      </c>
      <c r="B99" s="23">
        <v>45194</v>
      </c>
      <c r="C99" s="23">
        <v>45199</v>
      </c>
      <c r="D99" s="23"/>
      <c r="E99" s="23" t="str">
        <f>TEXT(tbl_sale[[#This Row],[Order Date]],"MMM")</f>
        <v>Sep</v>
      </c>
      <c r="F99" s="23" t="str">
        <f t="shared" si="1"/>
        <v>Delivered</v>
      </c>
      <c r="G99" s="2" t="s">
        <v>28</v>
      </c>
      <c r="H99" s="2" t="s">
        <v>107</v>
      </c>
      <c r="I99" s="2" t="s">
        <v>25</v>
      </c>
      <c r="J99" s="34">
        <v>215</v>
      </c>
      <c r="K99" s="3">
        <v>2</v>
      </c>
      <c r="L99" s="38">
        <v>430</v>
      </c>
      <c r="M99" s="2" t="s">
        <v>29</v>
      </c>
      <c r="N99" s="13" t="s">
        <v>34</v>
      </c>
      <c r="O99" s="27" t="str">
        <f>_xlfn.XLOOKUP(tbl_sale[[#This Row],[Customer ID]],CustomerMaster!A:A,CustomerMaster!B:B,"NA",0)</f>
        <v>Grace Ward</v>
      </c>
      <c r="P99" s="27" t="str">
        <f>_xlfn.XLOOKUP(tbl_sale[[#This Row],[Product ID]],ProductMaster!$A$2:$A$23,ProductMaster!$B$2:$B$23,"NA",0)</f>
        <v>Cookware Set Pro</v>
      </c>
      <c r="Q99" s="27" t="str">
        <f>_xlfn.XLOOKUP(tbl_sale[[#This Row],[Product ID]],ProductMaster!$A$2:$A$23,ProductMaster!$C$2:$C$23,"NA",0)</f>
        <v>Home</v>
      </c>
      <c r="R99" s="27" t="str">
        <f>IFERROR(IF(tbl_sale[[#This Row],[Delivery Date]]="","Pending",IF(tbl_sale[[#This Row],[Delivery Date]]-tbl_sale[[#This Row],[Order Date]]&lt;= 2,"Fast","Slow")),"Error")</f>
        <v>Slow</v>
      </c>
      <c r="S99" s="27">
        <f>_xlfn.XLOOKUP(tbl_sale[[#This Row],[Region]],RegionGoals!$A$2:$A$6,RegionGoals!$B$2:$B$6, ,0)</f>
        <v>91500</v>
      </c>
      <c r="T99" s="27" t="str">
        <f>_xlfn.XLOOKUP(tbl_sale[[#This Row],[Customer ID]],CustomerMaster!$A:$A,CustomerMaster!$C:$C,"NA",0)</f>
        <v>Business</v>
      </c>
      <c r="U99" s="27">
        <f>IF(tbl_sale[[#This Row],[Delivery Status]]="Cancelled",1,0)</f>
        <v>0</v>
      </c>
      <c r="V99" s="27">
        <f>IF(tbl_sale[[#This Row],[Order ID]]&lt;&gt;"",1,0)</f>
        <v>1</v>
      </c>
      <c r="W99" s="27">
        <f>IF(AND(tbl_sale[[#This Row],[Delivery Status]]="Delivered",tbl_sale[[#This Row],[Delivery Performance]]="Fast"),1,0)</f>
        <v>0</v>
      </c>
      <c r="X99" s="27">
        <f>IF(tbl_sale[[#This Row],[Delivery Status]]="Delivered",1,0)</f>
        <v>1</v>
      </c>
    </row>
    <row r="100" spans="1:24" ht="18" customHeight="1" x14ac:dyDescent="0.3">
      <c r="A100" s="12" t="s">
        <v>188</v>
      </c>
      <c r="B100" s="23">
        <v>44944</v>
      </c>
      <c r="C100" s="23"/>
      <c r="D100" s="23">
        <v>44950</v>
      </c>
      <c r="E100" s="23" t="str">
        <f>TEXT(tbl_sale[[#This Row],[Order Date]],"MMM")</f>
        <v>Jan</v>
      </c>
      <c r="F100" s="23" t="str">
        <f t="shared" si="1"/>
        <v>Cancelled</v>
      </c>
      <c r="G100" s="2" t="s">
        <v>189</v>
      </c>
      <c r="H100" s="2" t="s">
        <v>49</v>
      </c>
      <c r="I100" s="2" t="s">
        <v>46</v>
      </c>
      <c r="J100" s="34">
        <v>43</v>
      </c>
      <c r="K100" s="3">
        <v>5</v>
      </c>
      <c r="L100" s="38">
        <v>215</v>
      </c>
      <c r="M100" s="2" t="s">
        <v>22</v>
      </c>
      <c r="N100" s="13" t="s">
        <v>30</v>
      </c>
      <c r="O100" s="27" t="str">
        <f>_xlfn.XLOOKUP(tbl_sale[[#This Row],[Customer ID]],CustomerMaster!A:A,CustomerMaster!B:B,"NA",0)</f>
        <v>Lily Simmons</v>
      </c>
      <c r="P100" s="27" t="str">
        <f>_xlfn.XLOOKUP(tbl_sale[[#This Row],[Product ID]],ProductMaster!$A$2:$A$23,ProductMaster!$B$2:$B$23,"NA",0)</f>
        <v>Formal Shirt</v>
      </c>
      <c r="Q100" s="27" t="str">
        <f>_xlfn.XLOOKUP(tbl_sale[[#This Row],[Product ID]],ProductMaster!$A$2:$A$23,ProductMaster!$C$2:$C$23,"NA",0)</f>
        <v>Fashion</v>
      </c>
      <c r="R100" s="27" t="str">
        <f>IFERROR(IF(tbl_sale[[#This Row],[Delivery Date]]="","Pending",IF(tbl_sale[[#This Row],[Delivery Date]]-tbl_sale[[#This Row],[Order Date]]&lt;= 2,"Fast","Slow")),"Error")</f>
        <v>Pending</v>
      </c>
      <c r="S100" s="27">
        <f>_xlfn.XLOOKUP(tbl_sale[[#This Row],[Region]],RegionGoals!$A$2:$A$6,RegionGoals!$B$2:$B$6, ,0)</f>
        <v>90750</v>
      </c>
      <c r="T100" s="27" t="str">
        <f>_xlfn.XLOOKUP(tbl_sale[[#This Row],[Customer ID]],CustomerMaster!$A:$A,CustomerMaster!$C:$C,"NA",0)</f>
        <v>Individual</v>
      </c>
      <c r="U100" s="27">
        <f>IF(tbl_sale[[#This Row],[Delivery Status]]="Cancelled",1,0)</f>
        <v>1</v>
      </c>
      <c r="V100" s="27">
        <f>IF(tbl_sale[[#This Row],[Order ID]]&lt;&gt;"",1,0)</f>
        <v>1</v>
      </c>
      <c r="W100" s="27">
        <f>IF(AND(tbl_sale[[#This Row],[Delivery Status]]="Delivered",tbl_sale[[#This Row],[Delivery Performance]]="Fast"),1,0)</f>
        <v>0</v>
      </c>
      <c r="X100" s="27">
        <f>IF(tbl_sale[[#This Row],[Delivery Status]]="Delivered",1,0)</f>
        <v>0</v>
      </c>
    </row>
    <row r="101" spans="1:24" ht="18" customHeight="1" x14ac:dyDescent="0.3">
      <c r="A101" s="18" t="s">
        <v>190</v>
      </c>
      <c r="B101" s="24">
        <v>45012</v>
      </c>
      <c r="C101" s="24"/>
      <c r="D101" s="24"/>
      <c r="E101" s="24" t="str">
        <f>TEXT(tbl_sale[[#This Row],[Order Date]],"MMM")</f>
        <v>Mar</v>
      </c>
      <c r="F101" s="24" t="str">
        <f t="shared" si="1"/>
        <v>In Transit</v>
      </c>
      <c r="G101" s="19" t="s">
        <v>36</v>
      </c>
      <c r="H101" s="19" t="s">
        <v>86</v>
      </c>
      <c r="I101" s="19" t="s">
        <v>46</v>
      </c>
      <c r="J101" s="35">
        <v>42</v>
      </c>
      <c r="K101" s="20">
        <v>4</v>
      </c>
      <c r="L101" s="39">
        <v>168</v>
      </c>
      <c r="M101" s="19" t="s">
        <v>42</v>
      </c>
      <c r="N101" s="21" t="s">
        <v>17</v>
      </c>
      <c r="O101" s="27" t="str">
        <f>_xlfn.XLOOKUP(tbl_sale[[#This Row],[Customer ID]],CustomerMaster!A:A,CustomerMaster!B:B,"NA",0)</f>
        <v>Jackson Allen</v>
      </c>
      <c r="P101" s="27" t="str">
        <f>_xlfn.XLOOKUP(tbl_sale[[#This Row],[Product ID]],ProductMaster!$A$2:$A$23,ProductMaster!$B$2:$B$23,"NA",0)</f>
        <v>Action Figure</v>
      </c>
      <c r="Q101" s="27" t="str">
        <f>_xlfn.XLOOKUP(tbl_sale[[#This Row],[Product ID]],ProductMaster!$A$2:$A$23,ProductMaster!$C$2:$C$23,"NA",0)</f>
        <v>Toys</v>
      </c>
      <c r="R101" s="29" t="str">
        <f>IFERROR(IF(tbl_sale[[#This Row],[Delivery Date]]="","Pending",IF(tbl_sale[[#This Row],[Delivery Date]]-tbl_sale[[#This Row],[Order Date]]&lt;= 2,"Fast","Slow")),"Error")</f>
        <v>Pending</v>
      </c>
      <c r="S101" s="29">
        <f>_xlfn.XLOOKUP(tbl_sale[[#This Row],[Region]],RegionGoals!$A$2:$A$6,RegionGoals!$B$2:$B$6, ,0)</f>
        <v>90750</v>
      </c>
      <c r="T101" s="29" t="str">
        <f>_xlfn.XLOOKUP(tbl_sale[[#This Row],[Customer ID]],CustomerMaster!$A:$A,CustomerMaster!$C:$C,"NA",0)</f>
        <v>Business</v>
      </c>
      <c r="U101" s="29">
        <f>IF(tbl_sale[[#This Row],[Delivery Status]]="Cancelled",1,0)</f>
        <v>0</v>
      </c>
      <c r="V101" s="27">
        <f>IF(tbl_sale[[#This Row],[Order ID]]&lt;&gt;"",1,0)</f>
        <v>1</v>
      </c>
      <c r="W101" s="27">
        <f>IF(AND(tbl_sale[[#This Row],[Delivery Status]]="Delivered",tbl_sale[[#This Row],[Delivery Performance]]="Fast"),1,0)</f>
        <v>0</v>
      </c>
      <c r="X101" s="27">
        <f>IF(tbl_sale[[#This Row],[Delivery Status]]="Delivered",1,0)</f>
        <v>0</v>
      </c>
    </row>
    <row r="102" spans="1:24" ht="15" customHeight="1" x14ac:dyDescent="0.3">
      <c r="A102" s="18"/>
      <c r="B102" s="44"/>
      <c r="C102" s="24"/>
      <c r="D102" s="24"/>
      <c r="E102" s="24"/>
      <c r="F102" s="24"/>
      <c r="G102" s="19"/>
      <c r="H102" s="19"/>
      <c r="I102" s="19"/>
      <c r="J102" s="35">
        <f>SUM(tbl_sale[Sale Price/Unit])</f>
        <v>11183</v>
      </c>
      <c r="K102" s="20"/>
      <c r="L102" s="45">
        <f>SUM(tbl_sale[Total Amount])</f>
        <v>35258</v>
      </c>
      <c r="M102" s="19"/>
      <c r="N102" s="21"/>
      <c r="O102" s="29"/>
      <c r="P102" s="29"/>
      <c r="Q102" s="29"/>
      <c r="R102" s="29"/>
      <c r="S102" s="29"/>
      <c r="T102" s="29"/>
      <c r="U102" s="29"/>
      <c r="V102" s="29"/>
      <c r="W102" s="29"/>
      <c r="X102" s="29"/>
    </row>
  </sheetData>
  <phoneticPr fontId="7" type="noConversion"/>
  <conditionalFormatting sqref="F1:F1048576">
    <cfRule type="containsText" dxfId="3" priority="1" operator="containsText" text="In Transi">
      <formula>NOT(ISERROR(SEARCH("In Transi",F1)))</formula>
    </cfRule>
    <cfRule type="containsText" dxfId="2" priority="3" operator="containsText" text="Delivered">
      <formula>NOT(ISERROR(SEARCH("Delivered",F1)))</formula>
    </cfRule>
  </conditionalFormatting>
  <conditionalFormatting sqref="F2:F101">
    <cfRule type="containsText" dxfId="1" priority="4" operator="containsText" text="Cancelled">
      <formula>NOT(ISERROR(SEARCH("Cancelled",F2)))</formula>
    </cfRule>
  </conditionalFormatting>
  <conditionalFormatting sqref="J103">
    <cfRule type="containsText" dxfId="0" priority="2" operator="containsText" text="In Transit">
      <formula>NOT(ISERROR(SEARCH("In Transit",J103)))</formula>
    </cfRule>
  </conditionalFormatting>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4140625" defaultRowHeight="15" customHeight="1" x14ac:dyDescent="0.3"/>
  <cols>
    <col min="1" max="1" width="11.5546875" customWidth="1"/>
    <col min="2" max="2" width="17.5546875" customWidth="1"/>
    <col min="3" max="3" width="11.33203125" customWidth="1"/>
    <col min="4" max="4" width="21.6640625" customWidth="1"/>
    <col min="5" max="5" width="48" customWidth="1"/>
    <col min="6" max="26" width="8.6640625" customWidth="1"/>
  </cols>
  <sheetData>
    <row r="1" spans="1:5" ht="18" customHeight="1" x14ac:dyDescent="0.3">
      <c r="A1" s="6" t="s">
        <v>4</v>
      </c>
      <c r="B1" s="6" t="s">
        <v>191</v>
      </c>
      <c r="C1" s="6" t="s">
        <v>192</v>
      </c>
      <c r="D1" s="7" t="s">
        <v>193</v>
      </c>
      <c r="E1" s="6" t="s">
        <v>194</v>
      </c>
    </row>
    <row r="2" spans="1:5" ht="18" customHeight="1" x14ac:dyDescent="0.3">
      <c r="A2" s="8" t="s">
        <v>77</v>
      </c>
      <c r="B2" s="8" t="s">
        <v>195</v>
      </c>
      <c r="C2" s="8" t="s">
        <v>196</v>
      </c>
      <c r="D2" s="9">
        <v>749</v>
      </c>
      <c r="E2" s="8" t="s">
        <v>197</v>
      </c>
    </row>
    <row r="3" spans="1:5" ht="18" customHeight="1" x14ac:dyDescent="0.3">
      <c r="A3" s="8" t="s">
        <v>86</v>
      </c>
      <c r="B3" s="8" t="s">
        <v>198</v>
      </c>
      <c r="C3" s="8" t="s">
        <v>199</v>
      </c>
      <c r="D3" s="9">
        <v>39</v>
      </c>
      <c r="E3" s="8" t="s">
        <v>200</v>
      </c>
    </row>
    <row r="4" spans="1:5" ht="18" customHeight="1" x14ac:dyDescent="0.3">
      <c r="A4" s="8" t="s">
        <v>51</v>
      </c>
      <c r="B4" s="8" t="s">
        <v>201</v>
      </c>
      <c r="C4" s="8" t="s">
        <v>202</v>
      </c>
      <c r="D4" s="9">
        <v>129</v>
      </c>
      <c r="E4" s="8" t="s">
        <v>203</v>
      </c>
    </row>
    <row r="5" spans="1:5" ht="18" customHeight="1" x14ac:dyDescent="0.3">
      <c r="A5" s="8" t="s">
        <v>115</v>
      </c>
      <c r="B5" s="8" t="s">
        <v>204</v>
      </c>
      <c r="C5" s="8" t="s">
        <v>199</v>
      </c>
      <c r="D5" s="9">
        <v>59</v>
      </c>
      <c r="E5" s="8" t="s">
        <v>205</v>
      </c>
    </row>
    <row r="6" spans="1:5" ht="18" customHeight="1" x14ac:dyDescent="0.3">
      <c r="A6" s="8" t="s">
        <v>65</v>
      </c>
      <c r="B6" s="8" t="s">
        <v>206</v>
      </c>
      <c r="C6" s="8" t="s">
        <v>207</v>
      </c>
      <c r="D6" s="9">
        <v>25</v>
      </c>
      <c r="E6" s="8" t="s">
        <v>208</v>
      </c>
    </row>
    <row r="7" spans="1:5" ht="18" customHeight="1" x14ac:dyDescent="0.3">
      <c r="A7" s="8" t="s">
        <v>60</v>
      </c>
      <c r="B7" s="8" t="s">
        <v>209</v>
      </c>
      <c r="C7" s="8" t="s">
        <v>207</v>
      </c>
      <c r="D7" s="9">
        <v>89</v>
      </c>
      <c r="E7" s="8" t="s">
        <v>210</v>
      </c>
    </row>
    <row r="8" spans="1:5" ht="18" customHeight="1" x14ac:dyDescent="0.3">
      <c r="A8" s="8" t="s">
        <v>110</v>
      </c>
      <c r="B8" s="8" t="s">
        <v>211</v>
      </c>
      <c r="C8" s="8" t="s">
        <v>199</v>
      </c>
      <c r="D8" s="9">
        <v>29</v>
      </c>
      <c r="E8" s="8" t="s">
        <v>212</v>
      </c>
    </row>
    <row r="9" spans="1:5" ht="18" customHeight="1" x14ac:dyDescent="0.3">
      <c r="A9" s="8" t="s">
        <v>72</v>
      </c>
      <c r="B9" s="8" t="s">
        <v>213</v>
      </c>
      <c r="C9" s="8" t="s">
        <v>214</v>
      </c>
      <c r="D9" s="9">
        <v>65</v>
      </c>
      <c r="E9" s="8" t="s">
        <v>215</v>
      </c>
    </row>
    <row r="10" spans="1:5" ht="18" customHeight="1" x14ac:dyDescent="0.3">
      <c r="A10" s="8" t="s">
        <v>100</v>
      </c>
      <c r="B10" s="8" t="s">
        <v>216</v>
      </c>
      <c r="C10" s="8" t="s">
        <v>214</v>
      </c>
      <c r="D10" s="9">
        <v>10</v>
      </c>
      <c r="E10" s="8" t="s">
        <v>217</v>
      </c>
    </row>
    <row r="11" spans="1:5" ht="18" customHeight="1" x14ac:dyDescent="0.3">
      <c r="A11" s="8" t="s">
        <v>33</v>
      </c>
      <c r="B11" s="8" t="s">
        <v>218</v>
      </c>
      <c r="C11" s="8" t="s">
        <v>207</v>
      </c>
      <c r="D11" s="9">
        <v>55</v>
      </c>
      <c r="E11" s="8" t="s">
        <v>219</v>
      </c>
    </row>
    <row r="12" spans="1:5" ht="18" customHeight="1" x14ac:dyDescent="0.3">
      <c r="A12" s="8" t="s">
        <v>105</v>
      </c>
      <c r="B12" s="8" t="s">
        <v>220</v>
      </c>
      <c r="C12" s="8" t="s">
        <v>196</v>
      </c>
      <c r="D12" s="9">
        <v>159</v>
      </c>
      <c r="E12" s="8" t="s">
        <v>221</v>
      </c>
    </row>
    <row r="13" spans="1:5" ht="18" customHeight="1" x14ac:dyDescent="0.3">
      <c r="A13" s="8" t="s">
        <v>14</v>
      </c>
      <c r="B13" s="8" t="s">
        <v>222</v>
      </c>
      <c r="C13" s="8" t="s">
        <v>202</v>
      </c>
      <c r="D13" s="9">
        <v>42</v>
      </c>
      <c r="E13" s="8" t="s">
        <v>223</v>
      </c>
    </row>
    <row r="14" spans="1:5" ht="18" customHeight="1" x14ac:dyDescent="0.3">
      <c r="A14" s="8" t="s">
        <v>24</v>
      </c>
      <c r="B14" s="8" t="s">
        <v>224</v>
      </c>
      <c r="C14" s="8" t="s">
        <v>202</v>
      </c>
      <c r="D14" s="9">
        <v>185</v>
      </c>
      <c r="E14" s="8" t="s">
        <v>225</v>
      </c>
    </row>
    <row r="15" spans="1:5" ht="18" customHeight="1" x14ac:dyDescent="0.3">
      <c r="A15" s="8" t="s">
        <v>54</v>
      </c>
      <c r="B15" s="8" t="s">
        <v>226</v>
      </c>
      <c r="C15" s="8" t="s">
        <v>196</v>
      </c>
      <c r="D15" s="9">
        <v>229</v>
      </c>
      <c r="E15" s="8" t="s">
        <v>227</v>
      </c>
    </row>
    <row r="16" spans="1:5" ht="18" customHeight="1" x14ac:dyDescent="0.3">
      <c r="A16" s="8" t="s">
        <v>69</v>
      </c>
      <c r="B16" s="8" t="s">
        <v>228</v>
      </c>
      <c r="C16" s="8" t="s">
        <v>214</v>
      </c>
      <c r="D16" s="9">
        <v>20</v>
      </c>
      <c r="E16" s="8" t="s">
        <v>229</v>
      </c>
    </row>
    <row r="17" spans="1:5" ht="18" customHeight="1" x14ac:dyDescent="0.3">
      <c r="A17" s="8" t="s">
        <v>107</v>
      </c>
      <c r="B17" s="8" t="s">
        <v>230</v>
      </c>
      <c r="C17" s="8" t="s">
        <v>202</v>
      </c>
      <c r="D17" s="9">
        <v>199</v>
      </c>
      <c r="E17" s="8" t="s">
        <v>231</v>
      </c>
    </row>
    <row r="18" spans="1:5" ht="18" customHeight="1" x14ac:dyDescent="0.3">
      <c r="A18" s="8" t="s">
        <v>63</v>
      </c>
      <c r="B18" s="8" t="s">
        <v>232</v>
      </c>
      <c r="C18" s="8" t="s">
        <v>196</v>
      </c>
      <c r="D18" s="9">
        <v>69</v>
      </c>
      <c r="E18" s="8" t="s">
        <v>233</v>
      </c>
    </row>
    <row r="19" spans="1:5" ht="18" customHeight="1" x14ac:dyDescent="0.3">
      <c r="A19" s="8" t="s">
        <v>20</v>
      </c>
      <c r="B19" s="8" t="s">
        <v>234</v>
      </c>
      <c r="C19" s="8" t="s">
        <v>199</v>
      </c>
      <c r="D19" s="9">
        <v>89</v>
      </c>
      <c r="E19" s="8" t="s">
        <v>235</v>
      </c>
    </row>
    <row r="20" spans="1:5" ht="18" customHeight="1" x14ac:dyDescent="0.3">
      <c r="A20" s="8" t="s">
        <v>49</v>
      </c>
      <c r="B20" s="8" t="s">
        <v>236</v>
      </c>
      <c r="C20" s="8" t="s">
        <v>207</v>
      </c>
      <c r="D20" s="9">
        <v>40</v>
      </c>
      <c r="E20" s="8" t="s">
        <v>237</v>
      </c>
    </row>
    <row r="21" spans="1:5" ht="18" customHeight="1" x14ac:dyDescent="0.3">
      <c r="A21" s="8" t="s">
        <v>40</v>
      </c>
      <c r="B21" s="8" t="s">
        <v>238</v>
      </c>
      <c r="C21" s="8" t="s">
        <v>196</v>
      </c>
      <c r="D21" s="9">
        <v>99</v>
      </c>
      <c r="E21" s="8" t="s">
        <v>239</v>
      </c>
    </row>
    <row r="22" spans="1:5" ht="18" customHeight="1" x14ac:dyDescent="0.3">
      <c r="A22" s="8" t="s">
        <v>45</v>
      </c>
      <c r="B22" s="8" t="s">
        <v>240</v>
      </c>
      <c r="C22" s="8" t="s">
        <v>202</v>
      </c>
      <c r="D22" s="9">
        <v>34</v>
      </c>
      <c r="E22" s="8" t="s">
        <v>241</v>
      </c>
    </row>
    <row r="23" spans="1:5" ht="18" customHeight="1" x14ac:dyDescent="0.3">
      <c r="A23" s="8" t="s">
        <v>88</v>
      </c>
      <c r="B23" s="8" t="s">
        <v>242</v>
      </c>
      <c r="C23" s="8" t="s">
        <v>207</v>
      </c>
      <c r="D23" s="9">
        <v>60</v>
      </c>
      <c r="E23" s="8" t="s">
        <v>243</v>
      </c>
    </row>
    <row r="24" spans="1:5" ht="14.25" customHeight="1" x14ac:dyDescent="0.3">
      <c r="A24" s="4"/>
      <c r="B24" s="4"/>
      <c r="C24" s="4"/>
      <c r="D24" s="5"/>
      <c r="E24" s="4"/>
    </row>
    <row r="25" spans="1:5" ht="14.25" customHeight="1" x14ac:dyDescent="0.3">
      <c r="A25" s="4"/>
      <c r="B25" s="4"/>
      <c r="C25" s="4"/>
      <c r="D25" s="5"/>
      <c r="E25" s="4"/>
    </row>
    <row r="26" spans="1:5" ht="14.25" customHeight="1" x14ac:dyDescent="0.3">
      <c r="A26" s="4"/>
      <c r="B26" s="4"/>
      <c r="C26" s="4"/>
      <c r="D26" s="5"/>
      <c r="E26" s="4"/>
    </row>
    <row r="27" spans="1:5" ht="14.25" customHeight="1" x14ac:dyDescent="0.3">
      <c r="A27" s="4"/>
      <c r="B27" s="4"/>
      <c r="C27" s="4"/>
      <c r="D27" s="5"/>
      <c r="E27" s="4"/>
    </row>
    <row r="28" spans="1:5" ht="14.25" customHeight="1" x14ac:dyDescent="0.3">
      <c r="A28" s="4"/>
      <c r="B28" s="4"/>
      <c r="C28" s="4"/>
      <c r="D28" s="5"/>
      <c r="E28" s="4"/>
    </row>
    <row r="29" spans="1:5" ht="14.25" customHeight="1" x14ac:dyDescent="0.3">
      <c r="A29" s="4"/>
      <c r="B29" s="4"/>
      <c r="C29" s="4"/>
      <c r="D29" s="5"/>
      <c r="E29" s="4"/>
    </row>
    <row r="30" spans="1:5" ht="14.25" customHeight="1" x14ac:dyDescent="0.3">
      <c r="A30" s="4"/>
      <c r="B30" s="4"/>
      <c r="C30" s="4"/>
      <c r="D30" s="5"/>
      <c r="E30" s="4"/>
    </row>
    <row r="31" spans="1:5" ht="14.25" customHeight="1" x14ac:dyDescent="0.3">
      <c r="A31" s="4"/>
      <c r="B31" s="4"/>
      <c r="C31" s="4"/>
      <c r="D31" s="5"/>
      <c r="E31" s="4"/>
    </row>
    <row r="32" spans="1:5" ht="14.25" customHeight="1" x14ac:dyDescent="0.3">
      <c r="A32" s="4"/>
      <c r="B32" s="4"/>
      <c r="C32" s="4"/>
      <c r="D32" s="5"/>
      <c r="E32" s="4"/>
    </row>
    <row r="33" spans="1:5" ht="14.25" customHeight="1" x14ac:dyDescent="0.3">
      <c r="A33" s="4"/>
      <c r="B33" s="4"/>
      <c r="C33" s="4"/>
      <c r="D33" s="5"/>
      <c r="E33" s="4"/>
    </row>
    <row r="34" spans="1:5" ht="14.25" customHeight="1" x14ac:dyDescent="0.3">
      <c r="A34" s="4"/>
      <c r="B34" s="4"/>
      <c r="C34" s="4"/>
      <c r="D34" s="5"/>
      <c r="E34" s="4"/>
    </row>
    <row r="35" spans="1:5" ht="14.25" customHeight="1" x14ac:dyDescent="0.3">
      <c r="A35" s="4"/>
      <c r="B35" s="4"/>
      <c r="C35" s="4"/>
      <c r="D35" s="5"/>
      <c r="E35" s="4"/>
    </row>
    <row r="36" spans="1:5" ht="14.25" customHeight="1" x14ac:dyDescent="0.3">
      <c r="A36" s="4"/>
      <c r="B36" s="4"/>
      <c r="C36" s="4"/>
      <c r="D36" s="5"/>
      <c r="E36" s="4"/>
    </row>
    <row r="37" spans="1:5" ht="14.25" customHeight="1" x14ac:dyDescent="0.3">
      <c r="A37" s="4"/>
      <c r="B37" s="4"/>
      <c r="C37" s="4"/>
      <c r="D37" s="5"/>
      <c r="E37" s="4"/>
    </row>
    <row r="38" spans="1:5" ht="14.25" customHeight="1" x14ac:dyDescent="0.3">
      <c r="A38" s="4"/>
      <c r="B38" s="4"/>
      <c r="C38" s="4"/>
      <c r="D38" s="5"/>
      <c r="E38" s="4"/>
    </row>
    <row r="39" spans="1:5" ht="14.25" customHeight="1" x14ac:dyDescent="0.3">
      <c r="A39" s="4"/>
      <c r="B39" s="4"/>
      <c r="C39" s="4"/>
      <c r="D39" s="5"/>
      <c r="E39" s="4"/>
    </row>
    <row r="40" spans="1:5" ht="14.25" customHeight="1" x14ac:dyDescent="0.3">
      <c r="A40" s="4"/>
      <c r="B40" s="4"/>
      <c r="C40" s="4"/>
      <c r="D40" s="5"/>
      <c r="E40" s="4"/>
    </row>
    <row r="41" spans="1:5" ht="14.25" customHeight="1" x14ac:dyDescent="0.3">
      <c r="A41" s="4"/>
      <c r="B41" s="4"/>
      <c r="C41" s="4"/>
      <c r="D41" s="5"/>
      <c r="E41" s="4"/>
    </row>
    <row r="42" spans="1:5" ht="14.25" customHeight="1" x14ac:dyDescent="0.3">
      <c r="A42" s="4"/>
      <c r="B42" s="4"/>
      <c r="C42" s="4"/>
      <c r="D42" s="5"/>
      <c r="E42" s="4"/>
    </row>
    <row r="43" spans="1:5" ht="14.25" customHeight="1" x14ac:dyDescent="0.3">
      <c r="A43" s="4"/>
      <c r="B43" s="4"/>
      <c r="C43" s="4"/>
      <c r="D43" s="5"/>
      <c r="E43" s="4"/>
    </row>
    <row r="44" spans="1:5" ht="14.25" customHeight="1" x14ac:dyDescent="0.3">
      <c r="A44" s="4"/>
      <c r="B44" s="4"/>
      <c r="C44" s="4"/>
      <c r="D44" s="5"/>
      <c r="E44" s="4"/>
    </row>
    <row r="45" spans="1:5" ht="14.25" customHeight="1" x14ac:dyDescent="0.3">
      <c r="A45" s="4"/>
      <c r="B45" s="4"/>
      <c r="C45" s="4"/>
      <c r="D45" s="5"/>
      <c r="E45" s="4"/>
    </row>
    <row r="46" spans="1:5" ht="14.25" customHeight="1" x14ac:dyDescent="0.3">
      <c r="A46" s="4"/>
      <c r="B46" s="4"/>
      <c r="C46" s="4"/>
      <c r="D46" s="5"/>
      <c r="E46" s="4"/>
    </row>
    <row r="47" spans="1:5" ht="14.25" customHeight="1" x14ac:dyDescent="0.3">
      <c r="A47" s="4"/>
      <c r="B47" s="4"/>
      <c r="C47" s="4"/>
      <c r="D47" s="5"/>
      <c r="E47" s="4"/>
    </row>
    <row r="48" spans="1:5" ht="14.25" customHeight="1" x14ac:dyDescent="0.3">
      <c r="A48" s="4"/>
      <c r="B48" s="4"/>
      <c r="C48" s="4"/>
      <c r="D48" s="5"/>
      <c r="E48" s="4"/>
    </row>
    <row r="49" spans="1:5" ht="14.25" customHeight="1" x14ac:dyDescent="0.3">
      <c r="A49" s="4"/>
      <c r="B49" s="4"/>
      <c r="C49" s="4"/>
      <c r="D49" s="5"/>
      <c r="E49" s="4"/>
    </row>
    <row r="50" spans="1:5" ht="14.25" customHeight="1" x14ac:dyDescent="0.3">
      <c r="A50" s="4"/>
      <c r="B50" s="4"/>
      <c r="C50" s="4"/>
      <c r="D50" s="5"/>
      <c r="E50" s="4"/>
    </row>
    <row r="51" spans="1:5" ht="14.25" customHeight="1" x14ac:dyDescent="0.3">
      <c r="A51" s="4"/>
      <c r="B51" s="4"/>
      <c r="C51" s="4"/>
      <c r="D51" s="5"/>
      <c r="E51" s="4"/>
    </row>
    <row r="52" spans="1:5" ht="14.25" customHeight="1" x14ac:dyDescent="0.3">
      <c r="A52" s="4"/>
      <c r="B52" s="4"/>
      <c r="C52" s="4"/>
      <c r="D52" s="5"/>
      <c r="E52" s="4"/>
    </row>
    <row r="53" spans="1:5" ht="14.25" customHeight="1" x14ac:dyDescent="0.3">
      <c r="A53" s="4"/>
      <c r="B53" s="4"/>
      <c r="C53" s="4"/>
      <c r="D53" s="5"/>
      <c r="E53" s="4"/>
    </row>
    <row r="54" spans="1:5" ht="14.25" customHeight="1" x14ac:dyDescent="0.3">
      <c r="A54" s="4"/>
      <c r="B54" s="4"/>
      <c r="C54" s="4"/>
      <c r="D54" s="5"/>
      <c r="E54" s="4"/>
    </row>
    <row r="55" spans="1:5" ht="14.25" customHeight="1" x14ac:dyDescent="0.3">
      <c r="A55" s="4"/>
      <c r="B55" s="4"/>
      <c r="C55" s="4"/>
      <c r="D55" s="5"/>
      <c r="E55" s="4"/>
    </row>
    <row r="56" spans="1:5" ht="14.25" customHeight="1" x14ac:dyDescent="0.3">
      <c r="A56" s="4"/>
      <c r="B56" s="4"/>
      <c r="C56" s="4"/>
      <c r="D56" s="5"/>
      <c r="E56" s="4"/>
    </row>
    <row r="57" spans="1:5" ht="14.25" customHeight="1" x14ac:dyDescent="0.3">
      <c r="A57" s="4"/>
      <c r="B57" s="4"/>
      <c r="C57" s="4"/>
      <c r="D57" s="5"/>
      <c r="E57" s="4"/>
    </row>
    <row r="58" spans="1:5" ht="14.25" customHeight="1" x14ac:dyDescent="0.3">
      <c r="A58" s="4"/>
      <c r="B58" s="4"/>
      <c r="C58" s="4"/>
      <c r="D58" s="5"/>
      <c r="E58" s="4"/>
    </row>
    <row r="59" spans="1:5" ht="14.25" customHeight="1" x14ac:dyDescent="0.3">
      <c r="A59" s="4"/>
      <c r="B59" s="4"/>
      <c r="C59" s="4"/>
      <c r="D59" s="5"/>
      <c r="E59" s="4"/>
    </row>
    <row r="60" spans="1:5" ht="14.25" customHeight="1" x14ac:dyDescent="0.3">
      <c r="A60" s="4"/>
      <c r="B60" s="4"/>
      <c r="C60" s="4"/>
      <c r="D60" s="5"/>
      <c r="E60" s="4"/>
    </row>
    <row r="61" spans="1:5" ht="14.25" customHeight="1" x14ac:dyDescent="0.3">
      <c r="A61" s="4"/>
      <c r="B61" s="4"/>
      <c r="C61" s="4"/>
      <c r="D61" s="5"/>
      <c r="E61" s="4"/>
    </row>
    <row r="62" spans="1:5" ht="14.25" customHeight="1" x14ac:dyDescent="0.3">
      <c r="A62" s="4"/>
      <c r="B62" s="4"/>
      <c r="C62" s="4"/>
      <c r="D62" s="5"/>
      <c r="E62" s="4"/>
    </row>
    <row r="63" spans="1:5" ht="14.25" customHeight="1" x14ac:dyDescent="0.3">
      <c r="A63" s="4"/>
      <c r="B63" s="4"/>
      <c r="C63" s="4"/>
      <c r="D63" s="5"/>
      <c r="E63" s="4"/>
    </row>
    <row r="64" spans="1:5" ht="14.25" customHeight="1" x14ac:dyDescent="0.3">
      <c r="A64" s="4"/>
      <c r="B64" s="4"/>
      <c r="C64" s="4"/>
      <c r="D64" s="5"/>
      <c r="E64" s="4"/>
    </row>
    <row r="65" spans="1:5" ht="14.25" customHeight="1" x14ac:dyDescent="0.3">
      <c r="A65" s="4"/>
      <c r="B65" s="4"/>
      <c r="C65" s="4"/>
      <c r="D65" s="5"/>
      <c r="E65" s="4"/>
    </row>
    <row r="66" spans="1:5" ht="14.25" customHeight="1" x14ac:dyDescent="0.3">
      <c r="A66" s="4"/>
      <c r="B66" s="4"/>
      <c r="C66" s="4"/>
      <c r="D66" s="5"/>
      <c r="E66" s="4"/>
    </row>
    <row r="67" spans="1:5" ht="14.25" customHeight="1" x14ac:dyDescent="0.3">
      <c r="A67" s="4"/>
      <c r="B67" s="4"/>
      <c r="C67" s="4"/>
      <c r="D67" s="5"/>
      <c r="E67" s="4"/>
    </row>
    <row r="68" spans="1:5" ht="14.25" customHeight="1" x14ac:dyDescent="0.3">
      <c r="A68" s="4"/>
      <c r="B68" s="4"/>
      <c r="C68" s="4"/>
      <c r="D68" s="5"/>
      <c r="E68" s="4"/>
    </row>
    <row r="69" spans="1:5" ht="14.25" customHeight="1" x14ac:dyDescent="0.3">
      <c r="A69" s="4"/>
      <c r="B69" s="4"/>
      <c r="C69" s="4"/>
      <c r="D69" s="5"/>
      <c r="E69" s="4"/>
    </row>
    <row r="70" spans="1:5" ht="14.25" customHeight="1" x14ac:dyDescent="0.3">
      <c r="A70" s="4"/>
      <c r="B70" s="4"/>
      <c r="C70" s="4"/>
      <c r="D70" s="5"/>
      <c r="E70" s="4"/>
    </row>
    <row r="71" spans="1:5" ht="14.25" customHeight="1" x14ac:dyDescent="0.3">
      <c r="A71" s="4"/>
      <c r="B71" s="4"/>
      <c r="C71" s="4"/>
      <c r="D71" s="5"/>
      <c r="E71" s="4"/>
    </row>
    <row r="72" spans="1:5" ht="14.25" customHeight="1" x14ac:dyDescent="0.3">
      <c r="A72" s="4"/>
      <c r="B72" s="4"/>
      <c r="C72" s="4"/>
      <c r="D72" s="5"/>
      <c r="E72" s="4"/>
    </row>
    <row r="73" spans="1:5" ht="14.25" customHeight="1" x14ac:dyDescent="0.3">
      <c r="A73" s="4"/>
      <c r="B73" s="4"/>
      <c r="C73" s="4"/>
      <c r="D73" s="5"/>
      <c r="E73" s="4"/>
    </row>
    <row r="74" spans="1:5" ht="14.25" customHeight="1" x14ac:dyDescent="0.3">
      <c r="A74" s="4"/>
      <c r="B74" s="4"/>
      <c r="C74" s="4"/>
      <c r="D74" s="5"/>
      <c r="E74" s="4"/>
    </row>
    <row r="75" spans="1:5" ht="14.25" customHeight="1" x14ac:dyDescent="0.3">
      <c r="A75" s="4"/>
      <c r="B75" s="4"/>
      <c r="C75" s="4"/>
      <c r="D75" s="5"/>
      <c r="E75" s="4"/>
    </row>
    <row r="76" spans="1:5" ht="14.25" customHeight="1" x14ac:dyDescent="0.3">
      <c r="A76" s="4"/>
      <c r="B76" s="4"/>
      <c r="C76" s="4"/>
      <c r="D76" s="5"/>
      <c r="E76" s="4"/>
    </row>
    <row r="77" spans="1:5" ht="14.25" customHeight="1" x14ac:dyDescent="0.3">
      <c r="A77" s="4"/>
      <c r="B77" s="4"/>
      <c r="C77" s="4"/>
      <c r="D77" s="5"/>
      <c r="E77" s="4"/>
    </row>
    <row r="78" spans="1:5" ht="14.25" customHeight="1" x14ac:dyDescent="0.3">
      <c r="A78" s="4"/>
      <c r="B78" s="4"/>
      <c r="C78" s="4"/>
      <c r="D78" s="5"/>
      <c r="E78" s="4"/>
    </row>
    <row r="79" spans="1:5" ht="14.25" customHeight="1" x14ac:dyDescent="0.3">
      <c r="A79" s="4"/>
      <c r="B79" s="4"/>
      <c r="C79" s="4"/>
      <c r="D79" s="5"/>
      <c r="E79" s="4"/>
    </row>
    <row r="80" spans="1:5" ht="14.25" customHeight="1" x14ac:dyDescent="0.3">
      <c r="A80" s="4"/>
      <c r="B80" s="4"/>
      <c r="C80" s="4"/>
      <c r="D80" s="5"/>
      <c r="E80" s="4"/>
    </row>
    <row r="81" spans="1:5" ht="14.25" customHeight="1" x14ac:dyDescent="0.3">
      <c r="A81" s="4"/>
      <c r="B81" s="4"/>
      <c r="C81" s="4"/>
      <c r="D81" s="5"/>
      <c r="E81" s="4"/>
    </row>
    <row r="82" spans="1:5" ht="14.25" customHeight="1" x14ac:dyDescent="0.3">
      <c r="A82" s="4"/>
      <c r="B82" s="4"/>
      <c r="C82" s="4"/>
      <c r="D82" s="5"/>
      <c r="E82" s="4"/>
    </row>
    <row r="83" spans="1:5" ht="14.25" customHeight="1" x14ac:dyDescent="0.3">
      <c r="A83" s="4"/>
      <c r="B83" s="4"/>
      <c r="C83" s="4"/>
      <c r="D83" s="5"/>
      <c r="E83" s="4"/>
    </row>
    <row r="84" spans="1:5" ht="14.25" customHeight="1" x14ac:dyDescent="0.3">
      <c r="A84" s="4"/>
      <c r="B84" s="4"/>
      <c r="C84" s="4"/>
      <c r="D84" s="5"/>
      <c r="E84" s="4"/>
    </row>
    <row r="85" spans="1:5" ht="14.25" customHeight="1" x14ac:dyDescent="0.3">
      <c r="A85" s="4"/>
      <c r="B85" s="4"/>
      <c r="C85" s="4"/>
      <c r="D85" s="5"/>
      <c r="E85" s="4"/>
    </row>
    <row r="86" spans="1:5" ht="14.25" customHeight="1" x14ac:dyDescent="0.3">
      <c r="A86" s="4"/>
      <c r="B86" s="4"/>
      <c r="C86" s="4"/>
      <c r="D86" s="5"/>
      <c r="E86" s="4"/>
    </row>
    <row r="87" spans="1:5" ht="14.25" customHeight="1" x14ac:dyDescent="0.3">
      <c r="A87" s="4"/>
      <c r="B87" s="4"/>
      <c r="C87" s="4"/>
      <c r="D87" s="5"/>
      <c r="E87" s="4"/>
    </row>
    <row r="88" spans="1:5" ht="14.25" customHeight="1" x14ac:dyDescent="0.3">
      <c r="A88" s="4"/>
      <c r="B88" s="4"/>
      <c r="C88" s="4"/>
      <c r="D88" s="5"/>
      <c r="E88" s="4"/>
    </row>
    <row r="89" spans="1:5" ht="14.25" customHeight="1" x14ac:dyDescent="0.3">
      <c r="A89" s="4"/>
      <c r="B89" s="4"/>
      <c r="C89" s="4"/>
      <c r="D89" s="5"/>
      <c r="E89" s="4"/>
    </row>
    <row r="90" spans="1:5" ht="14.25" customHeight="1" x14ac:dyDescent="0.3">
      <c r="A90" s="4"/>
      <c r="B90" s="4"/>
      <c r="C90" s="4"/>
      <c r="D90" s="5"/>
      <c r="E90" s="4"/>
    </row>
    <row r="91" spans="1:5" ht="14.25" customHeight="1" x14ac:dyDescent="0.3">
      <c r="A91" s="4"/>
      <c r="B91" s="4"/>
      <c r="C91" s="4"/>
      <c r="D91" s="5"/>
      <c r="E91" s="4"/>
    </row>
    <row r="92" spans="1:5" ht="14.25" customHeight="1" x14ac:dyDescent="0.3">
      <c r="A92" s="4"/>
      <c r="B92" s="4"/>
      <c r="C92" s="4"/>
      <c r="D92" s="5"/>
      <c r="E92" s="4"/>
    </row>
    <row r="93" spans="1:5" ht="14.25" customHeight="1" x14ac:dyDescent="0.3">
      <c r="A93" s="4"/>
      <c r="B93" s="4"/>
      <c r="C93" s="4"/>
      <c r="D93" s="5"/>
      <c r="E93" s="4"/>
    </row>
    <row r="94" spans="1:5" ht="14.25" customHeight="1" x14ac:dyDescent="0.3">
      <c r="A94" s="4"/>
      <c r="B94" s="4"/>
      <c r="C94" s="4"/>
      <c r="D94" s="5"/>
      <c r="E94" s="4"/>
    </row>
    <row r="95" spans="1:5" ht="14.25" customHeight="1" x14ac:dyDescent="0.3">
      <c r="A95" s="4"/>
      <c r="B95" s="4"/>
      <c r="C95" s="4"/>
      <c r="D95" s="5"/>
      <c r="E95" s="4"/>
    </row>
    <row r="96" spans="1:5" ht="14.25" customHeight="1" x14ac:dyDescent="0.3">
      <c r="A96" s="4"/>
      <c r="B96" s="4"/>
      <c r="C96" s="4"/>
      <c r="D96" s="5"/>
      <c r="E96" s="4"/>
    </row>
    <row r="97" spans="1:5" ht="14.25" customHeight="1" x14ac:dyDescent="0.3">
      <c r="A97" s="4"/>
      <c r="B97" s="4"/>
      <c r="C97" s="4"/>
      <c r="D97" s="5"/>
      <c r="E97" s="4"/>
    </row>
    <row r="98" spans="1:5" ht="14.25" customHeight="1" x14ac:dyDescent="0.3">
      <c r="A98" s="4"/>
      <c r="B98" s="4"/>
      <c r="C98" s="4"/>
      <c r="D98" s="5"/>
      <c r="E98" s="4"/>
    </row>
    <row r="99" spans="1:5" ht="14.25" customHeight="1" x14ac:dyDescent="0.3">
      <c r="A99" s="4"/>
      <c r="B99" s="4"/>
      <c r="C99" s="4"/>
      <c r="D99" s="5"/>
      <c r="E99" s="4"/>
    </row>
    <row r="100" spans="1:5" ht="14.25" customHeight="1" x14ac:dyDescent="0.3">
      <c r="A100" s="4"/>
      <c r="B100" s="4"/>
      <c r="C100" s="4"/>
      <c r="D100" s="5"/>
      <c r="E100" s="4"/>
    </row>
    <row r="101" spans="1:5" ht="14.25" customHeight="1" x14ac:dyDescent="0.3">
      <c r="A101" s="4"/>
      <c r="B101" s="4"/>
      <c r="C101" s="4"/>
      <c r="D101" s="5"/>
      <c r="E101" s="4"/>
    </row>
    <row r="102" spans="1:5" ht="14.25" customHeight="1" x14ac:dyDescent="0.3">
      <c r="A102" s="4"/>
      <c r="B102" s="4"/>
      <c r="C102" s="4"/>
      <c r="D102" s="5"/>
      <c r="E102" s="4"/>
    </row>
    <row r="103" spans="1:5" ht="14.25" customHeight="1" x14ac:dyDescent="0.3">
      <c r="A103" s="4"/>
      <c r="B103" s="4"/>
      <c r="C103" s="4"/>
      <c r="D103" s="5"/>
      <c r="E103" s="4"/>
    </row>
    <row r="104" spans="1:5" ht="14.25" customHeight="1" x14ac:dyDescent="0.3">
      <c r="A104" s="4"/>
      <c r="B104" s="4"/>
      <c r="C104" s="4"/>
      <c r="D104" s="5"/>
      <c r="E104" s="4"/>
    </row>
    <row r="105" spans="1:5" ht="14.25" customHeight="1" x14ac:dyDescent="0.3">
      <c r="A105" s="4"/>
      <c r="B105" s="4"/>
      <c r="C105" s="4"/>
      <c r="D105" s="5"/>
      <c r="E105" s="4"/>
    </row>
    <row r="106" spans="1:5" ht="14.25" customHeight="1" x14ac:dyDescent="0.3">
      <c r="A106" s="4"/>
      <c r="B106" s="4"/>
      <c r="C106" s="4"/>
      <c r="D106" s="5"/>
      <c r="E106" s="4"/>
    </row>
    <row r="107" spans="1:5" ht="14.25" customHeight="1" x14ac:dyDescent="0.3">
      <c r="A107" s="4"/>
      <c r="B107" s="4"/>
      <c r="C107" s="4"/>
      <c r="D107" s="5"/>
      <c r="E107" s="4"/>
    </row>
    <row r="108" spans="1:5" ht="14.25" customHeight="1" x14ac:dyDescent="0.3">
      <c r="A108" s="4"/>
      <c r="B108" s="4"/>
      <c r="C108" s="4"/>
      <c r="D108" s="5"/>
      <c r="E108" s="4"/>
    </row>
    <row r="109" spans="1:5" ht="14.25" customHeight="1" x14ac:dyDescent="0.3">
      <c r="A109" s="4"/>
      <c r="B109" s="4"/>
      <c r="C109" s="4"/>
      <c r="D109" s="5"/>
      <c r="E109" s="4"/>
    </row>
    <row r="110" spans="1:5" ht="14.25" customHeight="1" x14ac:dyDescent="0.3">
      <c r="A110" s="4"/>
      <c r="B110" s="4"/>
      <c r="C110" s="4"/>
      <c r="D110" s="5"/>
      <c r="E110" s="4"/>
    </row>
    <row r="111" spans="1:5" ht="14.25" customHeight="1" x14ac:dyDescent="0.3">
      <c r="A111" s="4"/>
      <c r="B111" s="4"/>
      <c r="C111" s="4"/>
      <c r="D111" s="5"/>
      <c r="E111" s="4"/>
    </row>
    <row r="112" spans="1:5" ht="14.25" customHeight="1" x14ac:dyDescent="0.3">
      <c r="A112" s="4"/>
      <c r="B112" s="4"/>
      <c r="C112" s="4"/>
      <c r="D112" s="5"/>
      <c r="E112" s="4"/>
    </row>
    <row r="113" spans="1:5" ht="14.25" customHeight="1" x14ac:dyDescent="0.3">
      <c r="A113" s="4"/>
      <c r="B113" s="4"/>
      <c r="C113" s="4"/>
      <c r="D113" s="5"/>
      <c r="E113" s="4"/>
    </row>
    <row r="114" spans="1:5" ht="14.25" customHeight="1" x14ac:dyDescent="0.3">
      <c r="A114" s="4"/>
      <c r="B114" s="4"/>
      <c r="C114" s="4"/>
      <c r="D114" s="5"/>
      <c r="E114" s="4"/>
    </row>
    <row r="115" spans="1:5" ht="14.25" customHeight="1" x14ac:dyDescent="0.3">
      <c r="A115" s="4"/>
      <c r="B115" s="4"/>
      <c r="C115" s="4"/>
      <c r="D115" s="5"/>
      <c r="E115" s="4"/>
    </row>
    <row r="116" spans="1:5" ht="14.25" customHeight="1" x14ac:dyDescent="0.3">
      <c r="A116" s="4"/>
      <c r="B116" s="4"/>
      <c r="C116" s="4"/>
      <c r="D116" s="5"/>
      <c r="E116" s="4"/>
    </row>
    <row r="117" spans="1:5" ht="14.25" customHeight="1" x14ac:dyDescent="0.3">
      <c r="A117" s="4"/>
      <c r="B117" s="4"/>
      <c r="C117" s="4"/>
      <c r="D117" s="5"/>
      <c r="E117" s="4"/>
    </row>
    <row r="118" spans="1:5" ht="14.25" customHeight="1" x14ac:dyDescent="0.3">
      <c r="A118" s="4"/>
      <c r="B118" s="4"/>
      <c r="C118" s="4"/>
      <c r="D118" s="5"/>
      <c r="E118" s="4"/>
    </row>
    <row r="119" spans="1:5" ht="14.25" customHeight="1" x14ac:dyDescent="0.3">
      <c r="A119" s="4"/>
      <c r="B119" s="4"/>
      <c r="C119" s="4"/>
      <c r="D119" s="5"/>
      <c r="E119" s="4"/>
    </row>
    <row r="120" spans="1:5" ht="14.25" customHeight="1" x14ac:dyDescent="0.3">
      <c r="A120" s="4"/>
      <c r="B120" s="4"/>
      <c r="C120" s="4"/>
      <c r="D120" s="5"/>
      <c r="E120" s="4"/>
    </row>
    <row r="121" spans="1:5" ht="14.25" customHeight="1" x14ac:dyDescent="0.3">
      <c r="A121" s="4"/>
      <c r="B121" s="4"/>
      <c r="C121" s="4"/>
      <c r="D121" s="5"/>
      <c r="E121" s="4"/>
    </row>
    <row r="122" spans="1:5" ht="14.25" customHeight="1" x14ac:dyDescent="0.3">
      <c r="A122" s="4"/>
      <c r="B122" s="4"/>
      <c r="C122" s="4"/>
      <c r="D122" s="5"/>
      <c r="E122" s="4"/>
    </row>
    <row r="123" spans="1:5" ht="14.25" customHeight="1" x14ac:dyDescent="0.3">
      <c r="A123" s="4"/>
      <c r="B123" s="4"/>
      <c r="C123" s="4"/>
      <c r="D123" s="5"/>
      <c r="E123" s="4"/>
    </row>
    <row r="124" spans="1:5" ht="14.25" customHeight="1" x14ac:dyDescent="0.3">
      <c r="A124" s="4"/>
      <c r="B124" s="4"/>
      <c r="C124" s="4"/>
      <c r="D124" s="5"/>
      <c r="E124" s="4"/>
    </row>
    <row r="125" spans="1:5" ht="14.25" customHeight="1" x14ac:dyDescent="0.3">
      <c r="A125" s="4"/>
      <c r="B125" s="4"/>
      <c r="C125" s="4"/>
      <c r="D125" s="5"/>
      <c r="E125" s="4"/>
    </row>
    <row r="126" spans="1:5" ht="14.25" customHeight="1" x14ac:dyDescent="0.3">
      <c r="A126" s="4"/>
      <c r="B126" s="4"/>
      <c r="C126" s="4"/>
      <c r="D126" s="5"/>
      <c r="E126" s="4"/>
    </row>
    <row r="127" spans="1:5" ht="14.25" customHeight="1" x14ac:dyDescent="0.3">
      <c r="A127" s="4"/>
      <c r="B127" s="4"/>
      <c r="C127" s="4"/>
      <c r="D127" s="5"/>
      <c r="E127" s="4"/>
    </row>
    <row r="128" spans="1:5" ht="14.25" customHeight="1" x14ac:dyDescent="0.3">
      <c r="A128" s="4"/>
      <c r="B128" s="4"/>
      <c r="C128" s="4"/>
      <c r="D128" s="5"/>
      <c r="E128" s="4"/>
    </row>
    <row r="129" spans="1:5" ht="14.25" customHeight="1" x14ac:dyDescent="0.3">
      <c r="A129" s="4"/>
      <c r="B129" s="4"/>
      <c r="C129" s="4"/>
      <c r="D129" s="5"/>
      <c r="E129" s="4"/>
    </row>
    <row r="130" spans="1:5" ht="14.25" customHeight="1" x14ac:dyDescent="0.3">
      <c r="A130" s="4"/>
      <c r="B130" s="4"/>
      <c r="C130" s="4"/>
      <c r="D130" s="5"/>
      <c r="E130" s="4"/>
    </row>
    <row r="131" spans="1:5" ht="14.25" customHeight="1" x14ac:dyDescent="0.3">
      <c r="A131" s="4"/>
      <c r="B131" s="4"/>
      <c r="C131" s="4"/>
      <c r="D131" s="5"/>
      <c r="E131" s="4"/>
    </row>
    <row r="132" spans="1:5" ht="14.25" customHeight="1" x14ac:dyDescent="0.3">
      <c r="A132" s="4"/>
      <c r="B132" s="4"/>
      <c r="C132" s="4"/>
      <c r="D132" s="5"/>
      <c r="E132" s="4"/>
    </row>
    <row r="133" spans="1:5" ht="14.25" customHeight="1" x14ac:dyDescent="0.3">
      <c r="A133" s="4"/>
      <c r="B133" s="4"/>
      <c r="C133" s="4"/>
      <c r="D133" s="5"/>
      <c r="E133" s="4"/>
    </row>
    <row r="134" spans="1:5" ht="14.25" customHeight="1" x14ac:dyDescent="0.3">
      <c r="A134" s="4"/>
      <c r="B134" s="4"/>
      <c r="C134" s="4"/>
      <c r="D134" s="5"/>
      <c r="E134" s="4"/>
    </row>
    <row r="135" spans="1:5" ht="14.25" customHeight="1" x14ac:dyDescent="0.3">
      <c r="A135" s="4"/>
      <c r="B135" s="4"/>
      <c r="C135" s="4"/>
      <c r="D135" s="5"/>
      <c r="E135" s="4"/>
    </row>
    <row r="136" spans="1:5" ht="14.25" customHeight="1" x14ac:dyDescent="0.3">
      <c r="A136" s="4"/>
      <c r="B136" s="4"/>
      <c r="C136" s="4"/>
      <c r="D136" s="5"/>
      <c r="E136" s="4"/>
    </row>
    <row r="137" spans="1:5" ht="14.25" customHeight="1" x14ac:dyDescent="0.3">
      <c r="A137" s="4"/>
      <c r="B137" s="4"/>
      <c r="C137" s="4"/>
      <c r="D137" s="5"/>
      <c r="E137" s="4"/>
    </row>
    <row r="138" spans="1:5" ht="14.25" customHeight="1" x14ac:dyDescent="0.3">
      <c r="A138" s="4"/>
      <c r="B138" s="4"/>
      <c r="C138" s="4"/>
      <c r="D138" s="5"/>
      <c r="E138" s="4"/>
    </row>
    <row r="139" spans="1:5" ht="14.25" customHeight="1" x14ac:dyDescent="0.3">
      <c r="A139" s="4"/>
      <c r="B139" s="4"/>
      <c r="C139" s="4"/>
      <c r="D139" s="5"/>
      <c r="E139" s="4"/>
    </row>
    <row r="140" spans="1:5" ht="14.25" customHeight="1" x14ac:dyDescent="0.3">
      <c r="A140" s="4"/>
      <c r="B140" s="4"/>
      <c r="C140" s="4"/>
      <c r="D140" s="5"/>
      <c r="E140" s="4"/>
    </row>
    <row r="141" spans="1:5" ht="14.25" customHeight="1" x14ac:dyDescent="0.3">
      <c r="A141" s="4"/>
      <c r="B141" s="4"/>
      <c r="C141" s="4"/>
      <c r="D141" s="5"/>
      <c r="E141" s="4"/>
    </row>
    <row r="142" spans="1:5" ht="14.25" customHeight="1" x14ac:dyDescent="0.3">
      <c r="A142" s="4"/>
      <c r="B142" s="4"/>
      <c r="C142" s="4"/>
      <c r="D142" s="5"/>
      <c r="E142" s="4"/>
    </row>
    <row r="143" spans="1:5" ht="14.25" customHeight="1" x14ac:dyDescent="0.3">
      <c r="A143" s="4"/>
      <c r="B143" s="4"/>
      <c r="C143" s="4"/>
      <c r="D143" s="5"/>
      <c r="E143" s="4"/>
    </row>
    <row r="144" spans="1:5" ht="14.25" customHeight="1" x14ac:dyDescent="0.3">
      <c r="A144" s="4"/>
      <c r="B144" s="4"/>
      <c r="C144" s="4"/>
      <c r="D144" s="5"/>
      <c r="E144" s="4"/>
    </row>
    <row r="145" spans="1:5" ht="14.25" customHeight="1" x14ac:dyDescent="0.3">
      <c r="A145" s="4"/>
      <c r="B145" s="4"/>
      <c r="C145" s="4"/>
      <c r="D145" s="5"/>
      <c r="E145" s="4"/>
    </row>
    <row r="146" spans="1:5" ht="14.25" customHeight="1" x14ac:dyDescent="0.3">
      <c r="A146" s="4"/>
      <c r="B146" s="4"/>
      <c r="C146" s="4"/>
      <c r="D146" s="5"/>
      <c r="E146" s="4"/>
    </row>
    <row r="147" spans="1:5" ht="14.25" customHeight="1" x14ac:dyDescent="0.3">
      <c r="A147" s="4"/>
      <c r="B147" s="4"/>
      <c r="C147" s="4"/>
      <c r="D147" s="5"/>
      <c r="E147" s="4"/>
    </row>
    <row r="148" spans="1:5" ht="14.25" customHeight="1" x14ac:dyDescent="0.3">
      <c r="A148" s="4"/>
      <c r="B148" s="4"/>
      <c r="C148" s="4"/>
      <c r="D148" s="5"/>
      <c r="E148" s="4"/>
    </row>
    <row r="149" spans="1:5" ht="14.25" customHeight="1" x14ac:dyDescent="0.3">
      <c r="A149" s="4"/>
      <c r="B149" s="4"/>
      <c r="C149" s="4"/>
      <c r="D149" s="5"/>
      <c r="E149" s="4"/>
    </row>
    <row r="150" spans="1:5" ht="14.25" customHeight="1" x14ac:dyDescent="0.3">
      <c r="A150" s="4"/>
      <c r="B150" s="4"/>
      <c r="C150" s="4"/>
      <c r="D150" s="5"/>
      <c r="E150" s="4"/>
    </row>
    <row r="151" spans="1:5" ht="14.25" customHeight="1" x14ac:dyDescent="0.3">
      <c r="A151" s="4"/>
      <c r="B151" s="4"/>
      <c r="C151" s="4"/>
      <c r="D151" s="5"/>
      <c r="E151" s="4"/>
    </row>
    <row r="152" spans="1:5" ht="14.25" customHeight="1" x14ac:dyDescent="0.3">
      <c r="A152" s="4"/>
      <c r="B152" s="4"/>
      <c r="C152" s="4"/>
      <c r="D152" s="5"/>
      <c r="E152" s="4"/>
    </row>
    <row r="153" spans="1:5" ht="14.25" customHeight="1" x14ac:dyDescent="0.3">
      <c r="A153" s="4"/>
      <c r="B153" s="4"/>
      <c r="C153" s="4"/>
      <c r="D153" s="5"/>
      <c r="E153" s="4"/>
    </row>
    <row r="154" spans="1:5" ht="14.25" customHeight="1" x14ac:dyDescent="0.3">
      <c r="A154" s="4"/>
      <c r="B154" s="4"/>
      <c r="C154" s="4"/>
      <c r="D154" s="5"/>
      <c r="E154" s="4"/>
    </row>
    <row r="155" spans="1:5" ht="14.25" customHeight="1" x14ac:dyDescent="0.3">
      <c r="A155" s="4"/>
      <c r="B155" s="4"/>
      <c r="C155" s="4"/>
      <c r="D155" s="5"/>
      <c r="E155" s="4"/>
    </row>
    <row r="156" spans="1:5" ht="14.25" customHeight="1" x14ac:dyDescent="0.3">
      <c r="A156" s="4"/>
      <c r="B156" s="4"/>
      <c r="C156" s="4"/>
      <c r="D156" s="5"/>
      <c r="E156" s="4"/>
    </row>
    <row r="157" spans="1:5" ht="14.25" customHeight="1" x14ac:dyDescent="0.3">
      <c r="A157" s="4"/>
      <c r="B157" s="4"/>
      <c r="C157" s="4"/>
      <c r="D157" s="5"/>
      <c r="E157" s="4"/>
    </row>
    <row r="158" spans="1:5" ht="14.25" customHeight="1" x14ac:dyDescent="0.3">
      <c r="A158" s="4"/>
      <c r="B158" s="4"/>
      <c r="C158" s="4"/>
      <c r="D158" s="5"/>
      <c r="E158" s="4"/>
    </row>
    <row r="159" spans="1:5" ht="14.25" customHeight="1" x14ac:dyDescent="0.3">
      <c r="A159" s="4"/>
      <c r="B159" s="4"/>
      <c r="C159" s="4"/>
      <c r="D159" s="5"/>
      <c r="E159" s="4"/>
    </row>
    <row r="160" spans="1:5" ht="14.25" customHeight="1" x14ac:dyDescent="0.3">
      <c r="A160" s="4"/>
      <c r="B160" s="4"/>
      <c r="C160" s="4"/>
      <c r="D160" s="5"/>
      <c r="E160" s="4"/>
    </row>
    <row r="161" spans="1:5" ht="14.25" customHeight="1" x14ac:dyDescent="0.3">
      <c r="A161" s="4"/>
      <c r="B161" s="4"/>
      <c r="C161" s="4"/>
      <c r="D161" s="5"/>
      <c r="E161" s="4"/>
    </row>
    <row r="162" spans="1:5" ht="14.25" customHeight="1" x14ac:dyDescent="0.3">
      <c r="A162" s="4"/>
      <c r="B162" s="4"/>
      <c r="C162" s="4"/>
      <c r="D162" s="5"/>
      <c r="E162" s="4"/>
    </row>
    <row r="163" spans="1:5" ht="14.25" customHeight="1" x14ac:dyDescent="0.3">
      <c r="A163" s="4"/>
      <c r="B163" s="4"/>
      <c r="C163" s="4"/>
      <c r="D163" s="5"/>
      <c r="E163" s="4"/>
    </row>
    <row r="164" spans="1:5" ht="14.25" customHeight="1" x14ac:dyDescent="0.3">
      <c r="A164" s="4"/>
      <c r="B164" s="4"/>
      <c r="C164" s="4"/>
      <c r="D164" s="5"/>
      <c r="E164" s="4"/>
    </row>
    <row r="165" spans="1:5" ht="14.25" customHeight="1" x14ac:dyDescent="0.3">
      <c r="A165" s="4"/>
      <c r="B165" s="4"/>
      <c r="C165" s="4"/>
      <c r="D165" s="5"/>
      <c r="E165" s="4"/>
    </row>
    <row r="166" spans="1:5" ht="14.25" customHeight="1" x14ac:dyDescent="0.3">
      <c r="A166" s="4"/>
      <c r="B166" s="4"/>
      <c r="C166" s="4"/>
      <c r="D166" s="5"/>
      <c r="E166" s="4"/>
    </row>
    <row r="167" spans="1:5" ht="14.25" customHeight="1" x14ac:dyDescent="0.3">
      <c r="A167" s="4"/>
      <c r="B167" s="4"/>
      <c r="C167" s="4"/>
      <c r="D167" s="5"/>
      <c r="E167" s="4"/>
    </row>
    <row r="168" spans="1:5" ht="14.25" customHeight="1" x14ac:dyDescent="0.3">
      <c r="A168" s="4"/>
      <c r="B168" s="4"/>
      <c r="C168" s="4"/>
      <c r="D168" s="5"/>
      <c r="E168" s="4"/>
    </row>
    <row r="169" spans="1:5" ht="14.25" customHeight="1" x14ac:dyDescent="0.3">
      <c r="A169" s="4"/>
      <c r="B169" s="4"/>
      <c r="C169" s="4"/>
      <c r="D169" s="5"/>
      <c r="E169" s="4"/>
    </row>
    <row r="170" spans="1:5" ht="14.25" customHeight="1" x14ac:dyDescent="0.3">
      <c r="A170" s="4"/>
      <c r="B170" s="4"/>
      <c r="C170" s="4"/>
      <c r="D170" s="5"/>
      <c r="E170" s="4"/>
    </row>
    <row r="171" spans="1:5" ht="14.25" customHeight="1" x14ac:dyDescent="0.3">
      <c r="A171" s="4"/>
      <c r="B171" s="4"/>
      <c r="C171" s="4"/>
      <c r="D171" s="5"/>
      <c r="E171" s="4"/>
    </row>
    <row r="172" spans="1:5" ht="14.25" customHeight="1" x14ac:dyDescent="0.3">
      <c r="A172" s="4"/>
      <c r="B172" s="4"/>
      <c r="C172" s="4"/>
      <c r="D172" s="5"/>
      <c r="E172" s="4"/>
    </row>
    <row r="173" spans="1:5" ht="14.25" customHeight="1" x14ac:dyDescent="0.3">
      <c r="A173" s="4"/>
      <c r="B173" s="4"/>
      <c r="C173" s="4"/>
      <c r="D173" s="5"/>
      <c r="E173" s="4"/>
    </row>
    <row r="174" spans="1:5" ht="14.25" customHeight="1" x14ac:dyDescent="0.3">
      <c r="A174" s="4"/>
      <c r="B174" s="4"/>
      <c r="C174" s="4"/>
      <c r="D174" s="5"/>
      <c r="E174" s="4"/>
    </row>
    <row r="175" spans="1:5" ht="14.25" customHeight="1" x14ac:dyDescent="0.3">
      <c r="A175" s="4"/>
      <c r="B175" s="4"/>
      <c r="C175" s="4"/>
      <c r="D175" s="5"/>
      <c r="E175" s="4"/>
    </row>
    <row r="176" spans="1:5" ht="14.25" customHeight="1" x14ac:dyDescent="0.3">
      <c r="A176" s="4"/>
      <c r="B176" s="4"/>
      <c r="C176" s="4"/>
      <c r="D176" s="5"/>
      <c r="E176" s="4"/>
    </row>
    <row r="177" spans="1:5" ht="14.25" customHeight="1" x14ac:dyDescent="0.3">
      <c r="A177" s="4"/>
      <c r="B177" s="4"/>
      <c r="C177" s="4"/>
      <c r="D177" s="5"/>
      <c r="E177" s="4"/>
    </row>
    <row r="178" spans="1:5" ht="14.25" customHeight="1" x14ac:dyDescent="0.3">
      <c r="A178" s="4"/>
      <c r="B178" s="4"/>
      <c r="C178" s="4"/>
      <c r="D178" s="5"/>
      <c r="E178" s="4"/>
    </row>
    <row r="179" spans="1:5" ht="14.25" customHeight="1" x14ac:dyDescent="0.3">
      <c r="A179" s="4"/>
      <c r="B179" s="4"/>
      <c r="C179" s="4"/>
      <c r="D179" s="5"/>
      <c r="E179" s="4"/>
    </row>
    <row r="180" spans="1:5" ht="14.25" customHeight="1" x14ac:dyDescent="0.3">
      <c r="A180" s="4"/>
      <c r="B180" s="4"/>
      <c r="C180" s="4"/>
      <c r="D180" s="5"/>
      <c r="E180" s="4"/>
    </row>
    <row r="181" spans="1:5" ht="14.25" customHeight="1" x14ac:dyDescent="0.3">
      <c r="A181" s="4"/>
      <c r="B181" s="4"/>
      <c r="C181" s="4"/>
      <c r="D181" s="5"/>
      <c r="E181" s="4"/>
    </row>
    <row r="182" spans="1:5" ht="14.25" customHeight="1" x14ac:dyDescent="0.3">
      <c r="A182" s="4"/>
      <c r="B182" s="4"/>
      <c r="C182" s="4"/>
      <c r="D182" s="5"/>
      <c r="E182" s="4"/>
    </row>
    <row r="183" spans="1:5" ht="14.25" customHeight="1" x14ac:dyDescent="0.3">
      <c r="A183" s="4"/>
      <c r="B183" s="4"/>
      <c r="C183" s="4"/>
      <c r="D183" s="5"/>
      <c r="E183" s="4"/>
    </row>
    <row r="184" spans="1:5" ht="14.25" customHeight="1" x14ac:dyDescent="0.3">
      <c r="A184" s="4"/>
      <c r="B184" s="4"/>
      <c r="C184" s="4"/>
      <c r="D184" s="5"/>
      <c r="E184" s="4"/>
    </row>
    <row r="185" spans="1:5" ht="14.25" customHeight="1" x14ac:dyDescent="0.3">
      <c r="A185" s="4"/>
      <c r="B185" s="4"/>
      <c r="C185" s="4"/>
      <c r="D185" s="5"/>
      <c r="E185" s="4"/>
    </row>
    <row r="186" spans="1:5" ht="14.25" customHeight="1" x14ac:dyDescent="0.3">
      <c r="A186" s="4"/>
      <c r="B186" s="4"/>
      <c r="C186" s="4"/>
      <c r="D186" s="5"/>
      <c r="E186" s="4"/>
    </row>
    <row r="187" spans="1:5" ht="14.25" customHeight="1" x14ac:dyDescent="0.3">
      <c r="A187" s="4"/>
      <c r="B187" s="4"/>
      <c r="C187" s="4"/>
      <c r="D187" s="5"/>
      <c r="E187" s="4"/>
    </row>
    <row r="188" spans="1:5" ht="14.25" customHeight="1" x14ac:dyDescent="0.3">
      <c r="A188" s="4"/>
      <c r="B188" s="4"/>
      <c r="C188" s="4"/>
      <c r="D188" s="5"/>
      <c r="E188" s="4"/>
    </row>
    <row r="189" spans="1:5" ht="14.25" customHeight="1" x14ac:dyDescent="0.3">
      <c r="A189" s="4"/>
      <c r="B189" s="4"/>
      <c r="C189" s="4"/>
      <c r="D189" s="5"/>
      <c r="E189" s="4"/>
    </row>
    <row r="190" spans="1:5" ht="14.25" customHeight="1" x14ac:dyDescent="0.3">
      <c r="A190" s="4"/>
      <c r="B190" s="4"/>
      <c r="C190" s="4"/>
      <c r="D190" s="5"/>
      <c r="E190" s="4"/>
    </row>
    <row r="191" spans="1:5" ht="14.25" customHeight="1" x14ac:dyDescent="0.3">
      <c r="A191" s="4"/>
      <c r="B191" s="4"/>
      <c r="C191" s="4"/>
      <c r="D191" s="5"/>
      <c r="E191" s="4"/>
    </row>
    <row r="192" spans="1:5" ht="14.25" customHeight="1" x14ac:dyDescent="0.3">
      <c r="A192" s="4"/>
      <c r="B192" s="4"/>
      <c r="C192" s="4"/>
      <c r="D192" s="5"/>
      <c r="E192" s="4"/>
    </row>
    <row r="193" spans="1:5" ht="14.25" customHeight="1" x14ac:dyDescent="0.3">
      <c r="A193" s="4"/>
      <c r="B193" s="4"/>
      <c r="C193" s="4"/>
      <c r="D193" s="5"/>
      <c r="E193" s="4"/>
    </row>
    <row r="194" spans="1:5" ht="14.25" customHeight="1" x14ac:dyDescent="0.3">
      <c r="A194" s="4"/>
      <c r="B194" s="4"/>
      <c r="C194" s="4"/>
      <c r="D194" s="5"/>
      <c r="E194" s="4"/>
    </row>
    <row r="195" spans="1:5" ht="14.25" customHeight="1" x14ac:dyDescent="0.3">
      <c r="A195" s="4"/>
      <c r="B195" s="4"/>
      <c r="C195" s="4"/>
      <c r="D195" s="5"/>
      <c r="E195" s="4"/>
    </row>
    <row r="196" spans="1:5" ht="14.25" customHeight="1" x14ac:dyDescent="0.3">
      <c r="A196" s="4"/>
      <c r="B196" s="4"/>
      <c r="C196" s="4"/>
      <c r="D196" s="5"/>
      <c r="E196" s="4"/>
    </row>
    <row r="197" spans="1:5" ht="14.25" customHeight="1" x14ac:dyDescent="0.3">
      <c r="A197" s="4"/>
      <c r="B197" s="4"/>
      <c r="C197" s="4"/>
      <c r="D197" s="5"/>
      <c r="E197" s="4"/>
    </row>
    <row r="198" spans="1:5" ht="14.25" customHeight="1" x14ac:dyDescent="0.3">
      <c r="A198" s="4"/>
      <c r="B198" s="4"/>
      <c r="C198" s="4"/>
      <c r="D198" s="5"/>
      <c r="E198" s="4"/>
    </row>
    <row r="199" spans="1:5" ht="14.25" customHeight="1" x14ac:dyDescent="0.3">
      <c r="A199" s="4"/>
      <c r="B199" s="4"/>
      <c r="C199" s="4"/>
      <c r="D199" s="5"/>
      <c r="E199" s="4"/>
    </row>
    <row r="200" spans="1:5" ht="14.25" customHeight="1" x14ac:dyDescent="0.3">
      <c r="A200" s="4"/>
      <c r="B200" s="4"/>
      <c r="C200" s="4"/>
      <c r="D200" s="5"/>
      <c r="E200" s="4"/>
    </row>
    <row r="201" spans="1:5" ht="14.25" customHeight="1" x14ac:dyDescent="0.3">
      <c r="A201" s="4"/>
      <c r="B201" s="4"/>
      <c r="C201" s="4"/>
      <c r="D201" s="5"/>
      <c r="E201" s="4"/>
    </row>
    <row r="202" spans="1:5" ht="14.25" customHeight="1" x14ac:dyDescent="0.3">
      <c r="A202" s="4"/>
      <c r="B202" s="4"/>
      <c r="C202" s="4"/>
      <c r="D202" s="5"/>
      <c r="E202" s="4"/>
    </row>
    <row r="203" spans="1:5" ht="14.25" customHeight="1" x14ac:dyDescent="0.3">
      <c r="A203" s="4"/>
      <c r="B203" s="4"/>
      <c r="C203" s="4"/>
      <c r="D203" s="5"/>
      <c r="E203" s="4"/>
    </row>
    <row r="204" spans="1:5" ht="14.25" customHeight="1" x14ac:dyDescent="0.3">
      <c r="A204" s="4"/>
      <c r="B204" s="4"/>
      <c r="C204" s="4"/>
      <c r="D204" s="5"/>
      <c r="E204" s="4"/>
    </row>
    <row r="205" spans="1:5" ht="14.25" customHeight="1" x14ac:dyDescent="0.3">
      <c r="A205" s="4"/>
      <c r="B205" s="4"/>
      <c r="C205" s="4"/>
      <c r="D205" s="5"/>
      <c r="E205" s="4"/>
    </row>
    <row r="206" spans="1:5" ht="14.25" customHeight="1" x14ac:dyDescent="0.3">
      <c r="A206" s="4"/>
      <c r="B206" s="4"/>
      <c r="C206" s="4"/>
      <c r="D206" s="5"/>
      <c r="E206" s="4"/>
    </row>
    <row r="207" spans="1:5" ht="14.25" customHeight="1" x14ac:dyDescent="0.3">
      <c r="A207" s="4"/>
      <c r="B207" s="4"/>
      <c r="C207" s="4"/>
      <c r="D207" s="5"/>
      <c r="E207" s="4"/>
    </row>
    <row r="208" spans="1:5" ht="14.25" customHeight="1" x14ac:dyDescent="0.3">
      <c r="A208" s="4"/>
      <c r="B208" s="4"/>
      <c r="C208" s="4"/>
      <c r="D208" s="5"/>
      <c r="E208" s="4"/>
    </row>
    <row r="209" spans="1:5" ht="14.25" customHeight="1" x14ac:dyDescent="0.3">
      <c r="A209" s="4"/>
      <c r="B209" s="4"/>
      <c r="C209" s="4"/>
      <c r="D209" s="5"/>
      <c r="E209" s="4"/>
    </row>
    <row r="210" spans="1:5" ht="14.25" customHeight="1" x14ac:dyDescent="0.3">
      <c r="A210" s="4"/>
      <c r="B210" s="4"/>
      <c r="C210" s="4"/>
      <c r="D210" s="5"/>
      <c r="E210" s="4"/>
    </row>
    <row r="211" spans="1:5" ht="14.25" customHeight="1" x14ac:dyDescent="0.3">
      <c r="A211" s="4"/>
      <c r="B211" s="4"/>
      <c r="C211" s="4"/>
      <c r="D211" s="5"/>
      <c r="E211" s="4"/>
    </row>
    <row r="212" spans="1:5" ht="14.25" customHeight="1" x14ac:dyDescent="0.3">
      <c r="A212" s="4"/>
      <c r="B212" s="4"/>
      <c r="C212" s="4"/>
      <c r="D212" s="5"/>
      <c r="E212" s="4"/>
    </row>
    <row r="213" spans="1:5" ht="14.25" customHeight="1" x14ac:dyDescent="0.3">
      <c r="A213" s="4"/>
      <c r="B213" s="4"/>
      <c r="C213" s="4"/>
      <c r="D213" s="5"/>
      <c r="E213" s="4"/>
    </row>
    <row r="214" spans="1:5" ht="14.25" customHeight="1" x14ac:dyDescent="0.3">
      <c r="A214" s="4"/>
      <c r="B214" s="4"/>
      <c r="C214" s="4"/>
      <c r="D214" s="5"/>
      <c r="E214" s="4"/>
    </row>
    <row r="215" spans="1:5" ht="14.25" customHeight="1" x14ac:dyDescent="0.3">
      <c r="A215" s="4"/>
      <c r="B215" s="4"/>
      <c r="C215" s="4"/>
      <c r="D215" s="5"/>
      <c r="E215" s="4"/>
    </row>
    <row r="216" spans="1:5" ht="14.25" customHeight="1" x14ac:dyDescent="0.3">
      <c r="A216" s="4"/>
      <c r="B216" s="4"/>
      <c r="C216" s="4"/>
      <c r="D216" s="5"/>
      <c r="E216" s="4"/>
    </row>
    <row r="217" spans="1:5" ht="14.25" customHeight="1" x14ac:dyDescent="0.3">
      <c r="A217" s="4"/>
      <c r="B217" s="4"/>
      <c r="C217" s="4"/>
      <c r="D217" s="5"/>
      <c r="E217" s="4"/>
    </row>
    <row r="218" spans="1:5" ht="14.25" customHeight="1" x14ac:dyDescent="0.3">
      <c r="A218" s="4"/>
      <c r="B218" s="4"/>
      <c r="C218" s="4"/>
      <c r="D218" s="5"/>
      <c r="E218" s="4"/>
    </row>
    <row r="219" spans="1:5" ht="14.25" customHeight="1" x14ac:dyDescent="0.3">
      <c r="A219" s="4"/>
      <c r="B219" s="4"/>
      <c r="C219" s="4"/>
      <c r="D219" s="5"/>
      <c r="E219" s="4"/>
    </row>
    <row r="220" spans="1:5" ht="14.25" customHeight="1" x14ac:dyDescent="0.3">
      <c r="A220" s="4"/>
      <c r="B220" s="4"/>
      <c r="C220" s="4"/>
      <c r="D220" s="5"/>
      <c r="E220" s="4"/>
    </row>
    <row r="221" spans="1:5" ht="14.25" customHeight="1" x14ac:dyDescent="0.3">
      <c r="A221" s="4"/>
      <c r="B221" s="4"/>
      <c r="C221" s="4"/>
      <c r="D221" s="5"/>
      <c r="E221" s="4"/>
    </row>
    <row r="222" spans="1:5" ht="14.25" customHeight="1" x14ac:dyDescent="0.3">
      <c r="A222" s="4"/>
      <c r="B222" s="4"/>
      <c r="C222" s="4"/>
      <c r="D222" s="5"/>
      <c r="E222" s="4"/>
    </row>
    <row r="223" spans="1:5" ht="14.25" customHeight="1" x14ac:dyDescent="0.3">
      <c r="A223" s="4"/>
      <c r="B223" s="4"/>
      <c r="C223" s="4"/>
      <c r="D223" s="5"/>
      <c r="E223" s="4"/>
    </row>
    <row r="224" spans="1:5" ht="14.25" customHeight="1" x14ac:dyDescent="0.3">
      <c r="A224" s="4"/>
      <c r="B224" s="4"/>
      <c r="C224" s="4"/>
      <c r="D224" s="5"/>
      <c r="E224" s="4"/>
    </row>
    <row r="225" spans="1:5" ht="14.25" customHeight="1" x14ac:dyDescent="0.3">
      <c r="A225" s="4"/>
      <c r="B225" s="4"/>
      <c r="C225" s="4"/>
      <c r="D225" s="5"/>
      <c r="E225" s="4"/>
    </row>
    <row r="226" spans="1:5" ht="14.25" customHeight="1" x14ac:dyDescent="0.3">
      <c r="A226" s="4"/>
      <c r="B226" s="4"/>
      <c r="C226" s="4"/>
      <c r="D226" s="5"/>
      <c r="E226" s="4"/>
    </row>
    <row r="227" spans="1:5" ht="14.25" customHeight="1" x14ac:dyDescent="0.3">
      <c r="A227" s="4"/>
      <c r="B227" s="4"/>
      <c r="C227" s="4"/>
      <c r="D227" s="5"/>
      <c r="E227" s="4"/>
    </row>
    <row r="228" spans="1:5" ht="14.25" customHeight="1" x14ac:dyDescent="0.3">
      <c r="A228" s="4"/>
      <c r="B228" s="4"/>
      <c r="C228" s="4"/>
      <c r="D228" s="5"/>
      <c r="E228" s="4"/>
    </row>
    <row r="229" spans="1:5" ht="14.25" customHeight="1" x14ac:dyDescent="0.3">
      <c r="A229" s="4"/>
      <c r="B229" s="4"/>
      <c r="C229" s="4"/>
      <c r="D229" s="5"/>
      <c r="E229" s="4"/>
    </row>
    <row r="230" spans="1:5" ht="14.25" customHeight="1" x14ac:dyDescent="0.3">
      <c r="A230" s="4"/>
      <c r="B230" s="4"/>
      <c r="C230" s="4"/>
      <c r="D230" s="5"/>
      <c r="E230" s="4"/>
    </row>
    <row r="231" spans="1:5" ht="14.25" customHeight="1" x14ac:dyDescent="0.3">
      <c r="A231" s="4"/>
      <c r="B231" s="4"/>
      <c r="C231" s="4"/>
      <c r="D231" s="5"/>
      <c r="E231" s="4"/>
    </row>
    <row r="232" spans="1:5" ht="14.25" customHeight="1" x14ac:dyDescent="0.3">
      <c r="A232" s="4"/>
      <c r="B232" s="4"/>
      <c r="C232" s="4"/>
      <c r="D232" s="5"/>
      <c r="E232" s="4"/>
    </row>
    <row r="233" spans="1:5" ht="14.25" customHeight="1" x14ac:dyDescent="0.3">
      <c r="A233" s="4"/>
      <c r="B233" s="4"/>
      <c r="C233" s="4"/>
      <c r="D233" s="5"/>
      <c r="E233" s="4"/>
    </row>
    <row r="234" spans="1:5" ht="14.25" customHeight="1" x14ac:dyDescent="0.3">
      <c r="A234" s="4"/>
      <c r="B234" s="4"/>
      <c r="C234" s="4"/>
      <c r="D234" s="5"/>
      <c r="E234" s="4"/>
    </row>
    <row r="235" spans="1:5" ht="14.25" customHeight="1" x14ac:dyDescent="0.3">
      <c r="A235" s="4"/>
      <c r="B235" s="4"/>
      <c r="C235" s="4"/>
      <c r="D235" s="5"/>
      <c r="E235" s="4"/>
    </row>
    <row r="236" spans="1:5" ht="14.25" customHeight="1" x14ac:dyDescent="0.3">
      <c r="A236" s="4"/>
      <c r="B236" s="4"/>
      <c r="C236" s="4"/>
      <c r="D236" s="5"/>
      <c r="E236" s="4"/>
    </row>
    <row r="237" spans="1:5" ht="14.25" customHeight="1" x14ac:dyDescent="0.3">
      <c r="A237" s="4"/>
      <c r="B237" s="4"/>
      <c r="C237" s="4"/>
      <c r="D237" s="5"/>
      <c r="E237" s="4"/>
    </row>
    <row r="238" spans="1:5" ht="14.25" customHeight="1" x14ac:dyDescent="0.3">
      <c r="A238" s="4"/>
      <c r="B238" s="4"/>
      <c r="C238" s="4"/>
      <c r="D238" s="5"/>
      <c r="E238" s="4"/>
    </row>
    <row r="239" spans="1:5" ht="14.25" customHeight="1" x14ac:dyDescent="0.3">
      <c r="A239" s="4"/>
      <c r="B239" s="4"/>
      <c r="C239" s="4"/>
      <c r="D239" s="5"/>
      <c r="E239" s="4"/>
    </row>
    <row r="240" spans="1:5" ht="14.25" customHeight="1" x14ac:dyDescent="0.3">
      <c r="A240" s="4"/>
      <c r="B240" s="4"/>
      <c r="C240" s="4"/>
      <c r="D240" s="5"/>
      <c r="E240" s="4"/>
    </row>
    <row r="241" spans="1:5" ht="14.25" customHeight="1" x14ac:dyDescent="0.3">
      <c r="A241" s="4"/>
      <c r="B241" s="4"/>
      <c r="C241" s="4"/>
      <c r="D241" s="5"/>
      <c r="E241" s="4"/>
    </row>
    <row r="242" spans="1:5" ht="14.25" customHeight="1" x14ac:dyDescent="0.3">
      <c r="A242" s="4"/>
      <c r="B242" s="4"/>
      <c r="C242" s="4"/>
      <c r="D242" s="5"/>
      <c r="E242" s="4"/>
    </row>
    <row r="243" spans="1:5" ht="14.25" customHeight="1" x14ac:dyDescent="0.3">
      <c r="A243" s="4"/>
      <c r="B243" s="4"/>
      <c r="C243" s="4"/>
      <c r="D243" s="5"/>
      <c r="E243" s="4"/>
    </row>
    <row r="244" spans="1:5" ht="14.25" customHeight="1" x14ac:dyDescent="0.3">
      <c r="A244" s="4"/>
      <c r="B244" s="4"/>
      <c r="C244" s="4"/>
      <c r="D244" s="5"/>
      <c r="E244" s="4"/>
    </row>
    <row r="245" spans="1:5" ht="14.25" customHeight="1" x14ac:dyDescent="0.3">
      <c r="A245" s="4"/>
      <c r="B245" s="4"/>
      <c r="C245" s="4"/>
      <c r="D245" s="5"/>
      <c r="E245" s="4"/>
    </row>
    <row r="246" spans="1:5" ht="14.25" customHeight="1" x14ac:dyDescent="0.3">
      <c r="A246" s="4"/>
      <c r="B246" s="4"/>
      <c r="C246" s="4"/>
      <c r="D246" s="5"/>
      <c r="E246" s="4"/>
    </row>
    <row r="247" spans="1:5" ht="14.25" customHeight="1" x14ac:dyDescent="0.3">
      <c r="A247" s="4"/>
      <c r="B247" s="4"/>
      <c r="C247" s="4"/>
      <c r="D247" s="5"/>
      <c r="E247" s="4"/>
    </row>
    <row r="248" spans="1:5" ht="14.25" customHeight="1" x14ac:dyDescent="0.3">
      <c r="A248" s="4"/>
      <c r="B248" s="4"/>
      <c r="C248" s="4"/>
      <c r="D248" s="5"/>
      <c r="E248" s="4"/>
    </row>
    <row r="249" spans="1:5" ht="14.25" customHeight="1" x14ac:dyDescent="0.3">
      <c r="A249" s="4"/>
      <c r="B249" s="4"/>
      <c r="C249" s="4"/>
      <c r="D249" s="5"/>
      <c r="E249" s="4"/>
    </row>
    <row r="250" spans="1:5" ht="14.25" customHeight="1" x14ac:dyDescent="0.3">
      <c r="A250" s="4"/>
      <c r="B250" s="4"/>
      <c r="C250" s="4"/>
      <c r="D250" s="5"/>
      <c r="E250" s="4"/>
    </row>
    <row r="251" spans="1:5" ht="14.25" customHeight="1" x14ac:dyDescent="0.3">
      <c r="A251" s="4"/>
      <c r="B251" s="4"/>
      <c r="C251" s="4"/>
      <c r="D251" s="5"/>
      <c r="E251" s="4"/>
    </row>
    <row r="252" spans="1:5" ht="14.25" customHeight="1" x14ac:dyDescent="0.3">
      <c r="A252" s="4"/>
      <c r="B252" s="4"/>
      <c r="C252" s="4"/>
      <c r="D252" s="5"/>
      <c r="E252" s="4"/>
    </row>
    <row r="253" spans="1:5" ht="14.25" customHeight="1" x14ac:dyDescent="0.3">
      <c r="A253" s="4"/>
      <c r="B253" s="4"/>
      <c r="C253" s="4"/>
      <c r="D253" s="5"/>
      <c r="E253" s="4"/>
    </row>
    <row r="254" spans="1:5" ht="14.25" customHeight="1" x14ac:dyDescent="0.3">
      <c r="A254" s="4"/>
      <c r="B254" s="4"/>
      <c r="C254" s="4"/>
      <c r="D254" s="5"/>
      <c r="E254" s="4"/>
    </row>
    <row r="255" spans="1:5" ht="14.25" customHeight="1" x14ac:dyDescent="0.3">
      <c r="A255" s="4"/>
      <c r="B255" s="4"/>
      <c r="C255" s="4"/>
      <c r="D255" s="5"/>
      <c r="E255" s="4"/>
    </row>
    <row r="256" spans="1:5" ht="14.25" customHeight="1" x14ac:dyDescent="0.3">
      <c r="A256" s="4"/>
      <c r="B256" s="4"/>
      <c r="C256" s="4"/>
      <c r="D256" s="5"/>
      <c r="E256" s="4"/>
    </row>
    <row r="257" spans="1:5" ht="14.25" customHeight="1" x14ac:dyDescent="0.3">
      <c r="A257" s="4"/>
      <c r="B257" s="4"/>
      <c r="C257" s="4"/>
      <c r="D257" s="5"/>
      <c r="E257" s="4"/>
    </row>
    <row r="258" spans="1:5" ht="14.25" customHeight="1" x14ac:dyDescent="0.3">
      <c r="A258" s="4"/>
      <c r="B258" s="4"/>
      <c r="C258" s="4"/>
      <c r="D258" s="5"/>
      <c r="E258" s="4"/>
    </row>
    <row r="259" spans="1:5" ht="14.25" customHeight="1" x14ac:dyDescent="0.3">
      <c r="A259" s="4"/>
      <c r="B259" s="4"/>
      <c r="C259" s="4"/>
      <c r="D259" s="5"/>
      <c r="E259" s="4"/>
    </row>
    <row r="260" spans="1:5" ht="14.25" customHeight="1" x14ac:dyDescent="0.3">
      <c r="A260" s="4"/>
      <c r="B260" s="4"/>
      <c r="C260" s="4"/>
      <c r="D260" s="5"/>
      <c r="E260" s="4"/>
    </row>
    <row r="261" spans="1:5" ht="14.25" customHeight="1" x14ac:dyDescent="0.3">
      <c r="A261" s="4"/>
      <c r="B261" s="4"/>
      <c r="C261" s="4"/>
      <c r="D261" s="5"/>
      <c r="E261" s="4"/>
    </row>
    <row r="262" spans="1:5" ht="14.25" customHeight="1" x14ac:dyDescent="0.3">
      <c r="A262" s="4"/>
      <c r="B262" s="4"/>
      <c r="C262" s="4"/>
      <c r="D262" s="5"/>
      <c r="E262" s="4"/>
    </row>
    <row r="263" spans="1:5" ht="14.25" customHeight="1" x14ac:dyDescent="0.3">
      <c r="A263" s="4"/>
      <c r="B263" s="4"/>
      <c r="C263" s="4"/>
      <c r="D263" s="5"/>
      <c r="E263" s="4"/>
    </row>
    <row r="264" spans="1:5" ht="14.25" customHeight="1" x14ac:dyDescent="0.3">
      <c r="A264" s="4"/>
      <c r="B264" s="4"/>
      <c r="C264" s="4"/>
      <c r="D264" s="5"/>
      <c r="E264" s="4"/>
    </row>
    <row r="265" spans="1:5" ht="14.25" customHeight="1" x14ac:dyDescent="0.3">
      <c r="A265" s="4"/>
      <c r="B265" s="4"/>
      <c r="C265" s="4"/>
      <c r="D265" s="5"/>
      <c r="E265" s="4"/>
    </row>
    <row r="266" spans="1:5" ht="14.25" customHeight="1" x14ac:dyDescent="0.3">
      <c r="A266" s="4"/>
      <c r="B266" s="4"/>
      <c r="C266" s="4"/>
      <c r="D266" s="5"/>
      <c r="E266" s="4"/>
    </row>
    <row r="267" spans="1:5" ht="14.25" customHeight="1" x14ac:dyDescent="0.3">
      <c r="A267" s="4"/>
      <c r="B267" s="4"/>
      <c r="C267" s="4"/>
      <c r="D267" s="5"/>
      <c r="E267" s="4"/>
    </row>
    <row r="268" spans="1:5" ht="14.25" customHeight="1" x14ac:dyDescent="0.3">
      <c r="A268" s="4"/>
      <c r="B268" s="4"/>
      <c r="C268" s="4"/>
      <c r="D268" s="5"/>
      <c r="E268" s="4"/>
    </row>
    <row r="269" spans="1:5" ht="14.25" customHeight="1" x14ac:dyDescent="0.3">
      <c r="A269" s="4"/>
      <c r="B269" s="4"/>
      <c r="C269" s="4"/>
      <c r="D269" s="5"/>
      <c r="E269" s="4"/>
    </row>
    <row r="270" spans="1:5" ht="14.25" customHeight="1" x14ac:dyDescent="0.3">
      <c r="A270" s="4"/>
      <c r="B270" s="4"/>
      <c r="C270" s="4"/>
      <c r="D270" s="5"/>
      <c r="E270" s="4"/>
    </row>
    <row r="271" spans="1:5" ht="14.25" customHeight="1" x14ac:dyDescent="0.3">
      <c r="A271" s="4"/>
      <c r="B271" s="4"/>
      <c r="C271" s="4"/>
      <c r="D271" s="5"/>
      <c r="E271" s="4"/>
    </row>
    <row r="272" spans="1:5" ht="14.25" customHeight="1" x14ac:dyDescent="0.3">
      <c r="A272" s="4"/>
      <c r="B272" s="4"/>
      <c r="C272" s="4"/>
      <c r="D272" s="5"/>
      <c r="E272" s="4"/>
    </row>
    <row r="273" spans="1:5" ht="14.25" customHeight="1" x14ac:dyDescent="0.3">
      <c r="A273" s="4"/>
      <c r="B273" s="4"/>
      <c r="C273" s="4"/>
      <c r="D273" s="5"/>
      <c r="E273" s="4"/>
    </row>
    <row r="274" spans="1:5" ht="14.25" customHeight="1" x14ac:dyDescent="0.3">
      <c r="A274" s="4"/>
      <c r="B274" s="4"/>
      <c r="C274" s="4"/>
      <c r="D274" s="5"/>
      <c r="E274" s="4"/>
    </row>
    <row r="275" spans="1:5" ht="14.25" customHeight="1" x14ac:dyDescent="0.3">
      <c r="A275" s="4"/>
      <c r="B275" s="4"/>
      <c r="C275" s="4"/>
      <c r="D275" s="5"/>
      <c r="E275" s="4"/>
    </row>
    <row r="276" spans="1:5" ht="14.25" customHeight="1" x14ac:dyDescent="0.3">
      <c r="A276" s="4"/>
      <c r="B276" s="4"/>
      <c r="C276" s="4"/>
      <c r="D276" s="5"/>
      <c r="E276" s="4"/>
    </row>
    <row r="277" spans="1:5" ht="14.25" customHeight="1" x14ac:dyDescent="0.3">
      <c r="A277" s="4"/>
      <c r="B277" s="4"/>
      <c r="C277" s="4"/>
      <c r="D277" s="5"/>
      <c r="E277" s="4"/>
    </row>
    <row r="278" spans="1:5" ht="14.25" customHeight="1" x14ac:dyDescent="0.3">
      <c r="A278" s="4"/>
      <c r="B278" s="4"/>
      <c r="C278" s="4"/>
      <c r="D278" s="5"/>
      <c r="E278" s="4"/>
    </row>
    <row r="279" spans="1:5" ht="14.25" customHeight="1" x14ac:dyDescent="0.3">
      <c r="A279" s="4"/>
      <c r="B279" s="4"/>
      <c r="C279" s="4"/>
      <c r="D279" s="5"/>
      <c r="E279" s="4"/>
    </row>
    <row r="280" spans="1:5" ht="14.25" customHeight="1" x14ac:dyDescent="0.3">
      <c r="A280" s="4"/>
      <c r="B280" s="4"/>
      <c r="C280" s="4"/>
      <c r="D280" s="5"/>
      <c r="E280" s="4"/>
    </row>
    <row r="281" spans="1:5" ht="14.25" customHeight="1" x14ac:dyDescent="0.3">
      <c r="A281" s="4"/>
      <c r="B281" s="4"/>
      <c r="C281" s="4"/>
      <c r="D281" s="5"/>
      <c r="E281" s="4"/>
    </row>
    <row r="282" spans="1:5" ht="14.25" customHeight="1" x14ac:dyDescent="0.3">
      <c r="A282" s="4"/>
      <c r="B282" s="4"/>
      <c r="C282" s="4"/>
      <c r="D282" s="5"/>
      <c r="E282" s="4"/>
    </row>
    <row r="283" spans="1:5" ht="14.25" customHeight="1" x14ac:dyDescent="0.3">
      <c r="A283" s="4"/>
      <c r="B283" s="4"/>
      <c r="C283" s="4"/>
      <c r="D283" s="5"/>
      <c r="E283" s="4"/>
    </row>
    <row r="284" spans="1:5" ht="14.25" customHeight="1" x14ac:dyDescent="0.3">
      <c r="A284" s="4"/>
      <c r="B284" s="4"/>
      <c r="C284" s="4"/>
      <c r="D284" s="5"/>
      <c r="E284" s="4"/>
    </row>
    <row r="285" spans="1:5" ht="14.25" customHeight="1" x14ac:dyDescent="0.3">
      <c r="A285" s="4"/>
      <c r="B285" s="4"/>
      <c r="C285" s="4"/>
      <c r="D285" s="5"/>
      <c r="E285" s="4"/>
    </row>
    <row r="286" spans="1:5" ht="14.25" customHeight="1" x14ac:dyDescent="0.3">
      <c r="A286" s="4"/>
      <c r="B286" s="4"/>
      <c r="C286" s="4"/>
      <c r="D286" s="5"/>
      <c r="E286" s="4"/>
    </row>
    <row r="287" spans="1:5" ht="14.25" customHeight="1" x14ac:dyDescent="0.3">
      <c r="A287" s="4"/>
      <c r="B287" s="4"/>
      <c r="C287" s="4"/>
      <c r="D287" s="5"/>
      <c r="E287" s="4"/>
    </row>
    <row r="288" spans="1:5" ht="14.25" customHeight="1" x14ac:dyDescent="0.3">
      <c r="A288" s="4"/>
      <c r="B288" s="4"/>
      <c r="C288" s="4"/>
      <c r="D288" s="5"/>
      <c r="E288" s="4"/>
    </row>
    <row r="289" spans="1:5" ht="14.25" customHeight="1" x14ac:dyDescent="0.3">
      <c r="A289" s="4"/>
      <c r="B289" s="4"/>
      <c r="C289" s="4"/>
      <c r="D289" s="5"/>
      <c r="E289" s="4"/>
    </row>
    <row r="290" spans="1:5" ht="14.25" customHeight="1" x14ac:dyDescent="0.3">
      <c r="A290" s="4"/>
      <c r="B290" s="4"/>
      <c r="C290" s="4"/>
      <c r="D290" s="5"/>
      <c r="E290" s="4"/>
    </row>
    <row r="291" spans="1:5" ht="14.25" customHeight="1" x14ac:dyDescent="0.3">
      <c r="A291" s="4"/>
      <c r="B291" s="4"/>
      <c r="C291" s="4"/>
      <c r="D291" s="5"/>
      <c r="E291" s="4"/>
    </row>
    <row r="292" spans="1:5" ht="14.25" customHeight="1" x14ac:dyDescent="0.3">
      <c r="A292" s="4"/>
      <c r="B292" s="4"/>
      <c r="C292" s="4"/>
      <c r="D292" s="5"/>
      <c r="E292" s="4"/>
    </row>
    <row r="293" spans="1:5" ht="14.25" customHeight="1" x14ac:dyDescent="0.3">
      <c r="A293" s="4"/>
      <c r="B293" s="4"/>
      <c r="C293" s="4"/>
      <c r="D293" s="5"/>
      <c r="E293" s="4"/>
    </row>
    <row r="294" spans="1:5" ht="14.25" customHeight="1" x14ac:dyDescent="0.3">
      <c r="A294" s="4"/>
      <c r="B294" s="4"/>
      <c r="C294" s="4"/>
      <c r="D294" s="5"/>
      <c r="E294" s="4"/>
    </row>
    <row r="295" spans="1:5" ht="14.25" customHeight="1" x14ac:dyDescent="0.3">
      <c r="A295" s="4"/>
      <c r="B295" s="4"/>
      <c r="C295" s="4"/>
      <c r="D295" s="5"/>
      <c r="E295" s="4"/>
    </row>
    <row r="296" spans="1:5" ht="14.25" customHeight="1" x14ac:dyDescent="0.3">
      <c r="A296" s="4"/>
      <c r="B296" s="4"/>
      <c r="C296" s="4"/>
      <c r="D296" s="5"/>
      <c r="E296" s="4"/>
    </row>
    <row r="297" spans="1:5" ht="14.25" customHeight="1" x14ac:dyDescent="0.3">
      <c r="A297" s="4"/>
      <c r="B297" s="4"/>
      <c r="C297" s="4"/>
      <c r="D297" s="5"/>
      <c r="E297" s="4"/>
    </row>
    <row r="298" spans="1:5" ht="14.25" customHeight="1" x14ac:dyDescent="0.3">
      <c r="A298" s="4"/>
      <c r="B298" s="4"/>
      <c r="C298" s="4"/>
      <c r="D298" s="5"/>
      <c r="E298" s="4"/>
    </row>
    <row r="299" spans="1:5" ht="14.25" customHeight="1" x14ac:dyDescent="0.3">
      <c r="A299" s="4"/>
      <c r="B299" s="4"/>
      <c r="C299" s="4"/>
      <c r="D299" s="5"/>
      <c r="E299" s="4"/>
    </row>
    <row r="300" spans="1:5" ht="14.25" customHeight="1" x14ac:dyDescent="0.3">
      <c r="A300" s="4"/>
      <c r="B300" s="4"/>
      <c r="C300" s="4"/>
      <c r="D300" s="5"/>
      <c r="E300" s="4"/>
    </row>
    <row r="301" spans="1:5" ht="14.25" customHeight="1" x14ac:dyDescent="0.3">
      <c r="A301" s="4"/>
      <c r="B301" s="4"/>
      <c r="C301" s="4"/>
      <c r="D301" s="5"/>
      <c r="E301" s="4"/>
    </row>
    <row r="302" spans="1:5" ht="14.25" customHeight="1" x14ac:dyDescent="0.3">
      <c r="A302" s="4"/>
      <c r="B302" s="4"/>
      <c r="C302" s="4"/>
      <c r="D302" s="5"/>
      <c r="E302" s="4"/>
    </row>
    <row r="303" spans="1:5" ht="14.25" customHeight="1" x14ac:dyDescent="0.3">
      <c r="A303" s="4"/>
      <c r="B303" s="4"/>
      <c r="C303" s="4"/>
      <c r="D303" s="5"/>
      <c r="E303" s="4"/>
    </row>
    <row r="304" spans="1:5" ht="14.25" customHeight="1" x14ac:dyDescent="0.3">
      <c r="A304" s="4"/>
      <c r="B304" s="4"/>
      <c r="C304" s="4"/>
      <c r="D304" s="5"/>
      <c r="E304" s="4"/>
    </row>
    <row r="305" spans="1:5" ht="14.25" customHeight="1" x14ac:dyDescent="0.3">
      <c r="A305" s="4"/>
      <c r="B305" s="4"/>
      <c r="C305" s="4"/>
      <c r="D305" s="5"/>
      <c r="E305" s="4"/>
    </row>
    <row r="306" spans="1:5" ht="14.25" customHeight="1" x14ac:dyDescent="0.3">
      <c r="A306" s="4"/>
      <c r="B306" s="4"/>
      <c r="C306" s="4"/>
      <c r="D306" s="5"/>
      <c r="E306" s="4"/>
    </row>
    <row r="307" spans="1:5" ht="14.25" customHeight="1" x14ac:dyDescent="0.3">
      <c r="A307" s="4"/>
      <c r="B307" s="4"/>
      <c r="C307" s="4"/>
      <c r="D307" s="5"/>
      <c r="E307" s="4"/>
    </row>
    <row r="308" spans="1:5" ht="14.25" customHeight="1" x14ac:dyDescent="0.3">
      <c r="A308" s="4"/>
      <c r="B308" s="4"/>
      <c r="C308" s="4"/>
      <c r="D308" s="5"/>
      <c r="E308" s="4"/>
    </row>
    <row r="309" spans="1:5" ht="14.25" customHeight="1" x14ac:dyDescent="0.3">
      <c r="A309" s="4"/>
      <c r="B309" s="4"/>
      <c r="C309" s="4"/>
      <c r="D309" s="5"/>
      <c r="E309" s="4"/>
    </row>
    <row r="310" spans="1:5" ht="14.25" customHeight="1" x14ac:dyDescent="0.3">
      <c r="A310" s="4"/>
      <c r="B310" s="4"/>
      <c r="C310" s="4"/>
      <c r="D310" s="5"/>
      <c r="E310" s="4"/>
    </row>
    <row r="311" spans="1:5" ht="14.25" customHeight="1" x14ac:dyDescent="0.3">
      <c r="A311" s="4"/>
      <c r="B311" s="4"/>
      <c r="C311" s="4"/>
      <c r="D311" s="5"/>
      <c r="E311" s="4"/>
    </row>
    <row r="312" spans="1:5" ht="14.25" customHeight="1" x14ac:dyDescent="0.3">
      <c r="A312" s="4"/>
      <c r="B312" s="4"/>
      <c r="C312" s="4"/>
      <c r="D312" s="5"/>
      <c r="E312" s="4"/>
    </row>
    <row r="313" spans="1:5" ht="14.25" customHeight="1" x14ac:dyDescent="0.3">
      <c r="A313" s="4"/>
      <c r="B313" s="4"/>
      <c r="C313" s="4"/>
      <c r="D313" s="5"/>
      <c r="E313" s="4"/>
    </row>
    <row r="314" spans="1:5" ht="14.25" customHeight="1" x14ac:dyDescent="0.3">
      <c r="A314" s="4"/>
      <c r="B314" s="4"/>
      <c r="C314" s="4"/>
      <c r="D314" s="5"/>
      <c r="E314" s="4"/>
    </row>
    <row r="315" spans="1:5" ht="14.25" customHeight="1" x14ac:dyDescent="0.3">
      <c r="A315" s="4"/>
      <c r="B315" s="4"/>
      <c r="C315" s="4"/>
      <c r="D315" s="5"/>
      <c r="E315" s="4"/>
    </row>
    <row r="316" spans="1:5" ht="14.25" customHeight="1" x14ac:dyDescent="0.3">
      <c r="A316" s="4"/>
      <c r="B316" s="4"/>
      <c r="C316" s="4"/>
      <c r="D316" s="5"/>
      <c r="E316" s="4"/>
    </row>
    <row r="317" spans="1:5" ht="14.25" customHeight="1" x14ac:dyDescent="0.3">
      <c r="A317" s="4"/>
      <c r="B317" s="4"/>
      <c r="C317" s="4"/>
      <c r="D317" s="5"/>
      <c r="E317" s="4"/>
    </row>
    <row r="318" spans="1:5" ht="14.25" customHeight="1" x14ac:dyDescent="0.3">
      <c r="A318" s="4"/>
      <c r="B318" s="4"/>
      <c r="C318" s="4"/>
      <c r="D318" s="5"/>
      <c r="E318" s="4"/>
    </row>
    <row r="319" spans="1:5" ht="14.25" customHeight="1" x14ac:dyDescent="0.3">
      <c r="A319" s="4"/>
      <c r="B319" s="4"/>
      <c r="C319" s="4"/>
      <c r="D319" s="5"/>
      <c r="E319" s="4"/>
    </row>
    <row r="320" spans="1:5" ht="14.25" customHeight="1" x14ac:dyDescent="0.3">
      <c r="A320" s="4"/>
      <c r="B320" s="4"/>
      <c r="C320" s="4"/>
      <c r="D320" s="5"/>
      <c r="E320" s="4"/>
    </row>
    <row r="321" spans="1:5" ht="14.25" customHeight="1" x14ac:dyDescent="0.3">
      <c r="A321" s="4"/>
      <c r="B321" s="4"/>
      <c r="C321" s="4"/>
      <c r="D321" s="5"/>
      <c r="E321" s="4"/>
    </row>
    <row r="322" spans="1:5" ht="14.25" customHeight="1" x14ac:dyDescent="0.3">
      <c r="A322" s="4"/>
      <c r="B322" s="4"/>
      <c r="C322" s="4"/>
      <c r="D322" s="5"/>
      <c r="E322" s="4"/>
    </row>
    <row r="323" spans="1:5" ht="14.25" customHeight="1" x14ac:dyDescent="0.3">
      <c r="A323" s="4"/>
      <c r="B323" s="4"/>
      <c r="C323" s="4"/>
      <c r="D323" s="5"/>
      <c r="E323" s="4"/>
    </row>
    <row r="324" spans="1:5" ht="14.25" customHeight="1" x14ac:dyDescent="0.3">
      <c r="A324" s="4"/>
      <c r="B324" s="4"/>
      <c r="C324" s="4"/>
      <c r="D324" s="5"/>
      <c r="E324" s="4"/>
    </row>
    <row r="325" spans="1:5" ht="14.25" customHeight="1" x14ac:dyDescent="0.3">
      <c r="A325" s="4"/>
      <c r="B325" s="4"/>
      <c r="C325" s="4"/>
      <c r="D325" s="5"/>
      <c r="E325" s="4"/>
    </row>
    <row r="326" spans="1:5" ht="14.25" customHeight="1" x14ac:dyDescent="0.3">
      <c r="A326" s="4"/>
      <c r="B326" s="4"/>
      <c r="C326" s="4"/>
      <c r="D326" s="5"/>
      <c r="E326" s="4"/>
    </row>
    <row r="327" spans="1:5" ht="14.25" customHeight="1" x14ac:dyDescent="0.3">
      <c r="A327" s="4"/>
      <c r="B327" s="4"/>
      <c r="C327" s="4"/>
      <c r="D327" s="5"/>
      <c r="E327" s="4"/>
    </row>
    <row r="328" spans="1:5" ht="14.25" customHeight="1" x14ac:dyDescent="0.3">
      <c r="A328" s="4"/>
      <c r="B328" s="4"/>
      <c r="C328" s="4"/>
      <c r="D328" s="5"/>
      <c r="E328" s="4"/>
    </row>
    <row r="329" spans="1:5" ht="14.25" customHeight="1" x14ac:dyDescent="0.3">
      <c r="A329" s="4"/>
      <c r="B329" s="4"/>
      <c r="C329" s="4"/>
      <c r="D329" s="5"/>
      <c r="E329" s="4"/>
    </row>
    <row r="330" spans="1:5" ht="14.25" customHeight="1" x14ac:dyDescent="0.3">
      <c r="A330" s="4"/>
      <c r="B330" s="4"/>
      <c r="C330" s="4"/>
      <c r="D330" s="5"/>
      <c r="E330" s="4"/>
    </row>
    <row r="331" spans="1:5" ht="14.25" customHeight="1" x14ac:dyDescent="0.3">
      <c r="A331" s="4"/>
      <c r="B331" s="4"/>
      <c r="C331" s="4"/>
      <c r="D331" s="5"/>
      <c r="E331" s="4"/>
    </row>
    <row r="332" spans="1:5" ht="14.25" customHeight="1" x14ac:dyDescent="0.3">
      <c r="A332" s="4"/>
      <c r="B332" s="4"/>
      <c r="C332" s="4"/>
      <c r="D332" s="5"/>
      <c r="E332" s="4"/>
    </row>
    <row r="333" spans="1:5" ht="14.25" customHeight="1" x14ac:dyDescent="0.3">
      <c r="A333" s="4"/>
      <c r="B333" s="4"/>
      <c r="C333" s="4"/>
      <c r="D333" s="5"/>
      <c r="E333" s="4"/>
    </row>
    <row r="334" spans="1:5" ht="14.25" customHeight="1" x14ac:dyDescent="0.3">
      <c r="A334" s="4"/>
      <c r="B334" s="4"/>
      <c r="C334" s="4"/>
      <c r="D334" s="5"/>
      <c r="E334" s="4"/>
    </row>
    <row r="335" spans="1:5" ht="14.25" customHeight="1" x14ac:dyDescent="0.3">
      <c r="A335" s="4"/>
      <c r="B335" s="4"/>
      <c r="C335" s="4"/>
      <c r="D335" s="5"/>
      <c r="E335" s="4"/>
    </row>
    <row r="336" spans="1:5" ht="14.25" customHeight="1" x14ac:dyDescent="0.3">
      <c r="A336" s="4"/>
      <c r="B336" s="4"/>
      <c r="C336" s="4"/>
      <c r="D336" s="5"/>
      <c r="E336" s="4"/>
    </row>
    <row r="337" spans="1:5" ht="14.25" customHeight="1" x14ac:dyDescent="0.3">
      <c r="A337" s="4"/>
      <c r="B337" s="4"/>
      <c r="C337" s="4"/>
      <c r="D337" s="5"/>
      <c r="E337" s="4"/>
    </row>
    <row r="338" spans="1:5" ht="14.25" customHeight="1" x14ac:dyDescent="0.3">
      <c r="A338" s="4"/>
      <c r="B338" s="4"/>
      <c r="C338" s="4"/>
      <c r="D338" s="5"/>
      <c r="E338" s="4"/>
    </row>
    <row r="339" spans="1:5" ht="14.25" customHeight="1" x14ac:dyDescent="0.3">
      <c r="A339" s="4"/>
      <c r="B339" s="4"/>
      <c r="C339" s="4"/>
      <c r="D339" s="5"/>
      <c r="E339" s="4"/>
    </row>
    <row r="340" spans="1:5" ht="14.25" customHeight="1" x14ac:dyDescent="0.3">
      <c r="A340" s="4"/>
      <c r="B340" s="4"/>
      <c r="C340" s="4"/>
      <c r="D340" s="5"/>
      <c r="E340" s="4"/>
    </row>
    <row r="341" spans="1:5" ht="14.25" customHeight="1" x14ac:dyDescent="0.3">
      <c r="A341" s="4"/>
      <c r="B341" s="4"/>
      <c r="C341" s="4"/>
      <c r="D341" s="5"/>
      <c r="E341" s="4"/>
    </row>
    <row r="342" spans="1:5" ht="14.25" customHeight="1" x14ac:dyDescent="0.3">
      <c r="A342" s="4"/>
      <c r="B342" s="4"/>
      <c r="C342" s="4"/>
      <c r="D342" s="5"/>
      <c r="E342" s="4"/>
    </row>
    <row r="343" spans="1:5" ht="14.25" customHeight="1" x14ac:dyDescent="0.3">
      <c r="A343" s="4"/>
      <c r="B343" s="4"/>
      <c r="C343" s="4"/>
      <c r="D343" s="5"/>
      <c r="E343" s="4"/>
    </row>
    <row r="344" spans="1:5" ht="14.25" customHeight="1" x14ac:dyDescent="0.3">
      <c r="A344" s="4"/>
      <c r="B344" s="4"/>
      <c r="C344" s="4"/>
      <c r="D344" s="5"/>
      <c r="E344" s="4"/>
    </row>
    <row r="345" spans="1:5" ht="14.25" customHeight="1" x14ac:dyDescent="0.3">
      <c r="A345" s="4"/>
      <c r="B345" s="4"/>
      <c r="C345" s="4"/>
      <c r="D345" s="5"/>
      <c r="E345" s="4"/>
    </row>
    <row r="346" spans="1:5" ht="14.25" customHeight="1" x14ac:dyDescent="0.3">
      <c r="A346" s="4"/>
      <c r="B346" s="4"/>
      <c r="C346" s="4"/>
      <c r="D346" s="5"/>
      <c r="E346" s="4"/>
    </row>
    <row r="347" spans="1:5" ht="14.25" customHeight="1" x14ac:dyDescent="0.3">
      <c r="A347" s="4"/>
      <c r="B347" s="4"/>
      <c r="C347" s="4"/>
      <c r="D347" s="5"/>
      <c r="E347" s="4"/>
    </row>
    <row r="348" spans="1:5" ht="14.25" customHeight="1" x14ac:dyDescent="0.3">
      <c r="A348" s="4"/>
      <c r="B348" s="4"/>
      <c r="C348" s="4"/>
      <c r="D348" s="5"/>
      <c r="E348" s="4"/>
    </row>
    <row r="349" spans="1:5" ht="14.25" customHeight="1" x14ac:dyDescent="0.3">
      <c r="A349" s="4"/>
      <c r="B349" s="4"/>
      <c r="C349" s="4"/>
      <c r="D349" s="5"/>
      <c r="E349" s="4"/>
    </row>
    <row r="350" spans="1:5" ht="14.25" customHeight="1" x14ac:dyDescent="0.3">
      <c r="A350" s="4"/>
      <c r="B350" s="4"/>
      <c r="C350" s="4"/>
      <c r="D350" s="5"/>
      <c r="E350" s="4"/>
    </row>
    <row r="351" spans="1:5" ht="14.25" customHeight="1" x14ac:dyDescent="0.3">
      <c r="A351" s="4"/>
      <c r="B351" s="4"/>
      <c r="C351" s="4"/>
      <c r="D351" s="5"/>
      <c r="E351" s="4"/>
    </row>
    <row r="352" spans="1:5" ht="14.25" customHeight="1" x14ac:dyDescent="0.3">
      <c r="A352" s="4"/>
      <c r="B352" s="4"/>
      <c r="C352" s="4"/>
      <c r="D352" s="5"/>
      <c r="E352" s="4"/>
    </row>
    <row r="353" spans="1:5" ht="14.25" customHeight="1" x14ac:dyDescent="0.3">
      <c r="A353" s="4"/>
      <c r="B353" s="4"/>
      <c r="C353" s="4"/>
      <c r="D353" s="5"/>
      <c r="E353" s="4"/>
    </row>
    <row r="354" spans="1:5" ht="14.25" customHeight="1" x14ac:dyDescent="0.3">
      <c r="A354" s="4"/>
      <c r="B354" s="4"/>
      <c r="C354" s="4"/>
      <c r="D354" s="5"/>
      <c r="E354" s="4"/>
    </row>
    <row r="355" spans="1:5" ht="14.25" customHeight="1" x14ac:dyDescent="0.3">
      <c r="A355" s="4"/>
      <c r="B355" s="4"/>
      <c r="C355" s="4"/>
      <c r="D355" s="5"/>
      <c r="E355" s="4"/>
    </row>
    <row r="356" spans="1:5" ht="14.25" customHeight="1" x14ac:dyDescent="0.3">
      <c r="A356" s="4"/>
      <c r="B356" s="4"/>
      <c r="C356" s="4"/>
      <c r="D356" s="5"/>
      <c r="E356" s="4"/>
    </row>
    <row r="357" spans="1:5" ht="14.25" customHeight="1" x14ac:dyDescent="0.3">
      <c r="A357" s="4"/>
      <c r="B357" s="4"/>
      <c r="C357" s="4"/>
      <c r="D357" s="5"/>
      <c r="E357" s="4"/>
    </row>
    <row r="358" spans="1:5" ht="14.25" customHeight="1" x14ac:dyDescent="0.3">
      <c r="A358" s="4"/>
      <c r="B358" s="4"/>
      <c r="C358" s="4"/>
      <c r="D358" s="5"/>
      <c r="E358" s="4"/>
    </row>
    <row r="359" spans="1:5" ht="14.25" customHeight="1" x14ac:dyDescent="0.3">
      <c r="A359" s="4"/>
      <c r="B359" s="4"/>
      <c r="C359" s="4"/>
      <c r="D359" s="5"/>
      <c r="E359" s="4"/>
    </row>
    <row r="360" spans="1:5" ht="14.25" customHeight="1" x14ac:dyDescent="0.3">
      <c r="A360" s="4"/>
      <c r="B360" s="4"/>
      <c r="C360" s="4"/>
      <c r="D360" s="5"/>
      <c r="E360" s="4"/>
    </row>
    <row r="361" spans="1:5" ht="14.25" customHeight="1" x14ac:dyDescent="0.3">
      <c r="A361" s="4"/>
      <c r="B361" s="4"/>
      <c r="C361" s="4"/>
      <c r="D361" s="5"/>
      <c r="E361" s="4"/>
    </row>
    <row r="362" spans="1:5" ht="14.25" customHeight="1" x14ac:dyDescent="0.3">
      <c r="A362" s="4"/>
      <c r="B362" s="4"/>
      <c r="C362" s="4"/>
      <c r="D362" s="5"/>
      <c r="E362" s="4"/>
    </row>
    <row r="363" spans="1:5" ht="14.25" customHeight="1" x14ac:dyDescent="0.3">
      <c r="A363" s="4"/>
      <c r="B363" s="4"/>
      <c r="C363" s="4"/>
      <c r="D363" s="5"/>
      <c r="E363" s="4"/>
    </row>
    <row r="364" spans="1:5" ht="14.25" customHeight="1" x14ac:dyDescent="0.3">
      <c r="A364" s="4"/>
      <c r="B364" s="4"/>
      <c r="C364" s="4"/>
      <c r="D364" s="5"/>
      <c r="E364" s="4"/>
    </row>
    <row r="365" spans="1:5" ht="14.25" customHeight="1" x14ac:dyDescent="0.3">
      <c r="A365" s="4"/>
      <c r="B365" s="4"/>
      <c r="C365" s="4"/>
      <c r="D365" s="5"/>
      <c r="E365" s="4"/>
    </row>
    <row r="366" spans="1:5" ht="14.25" customHeight="1" x14ac:dyDescent="0.3">
      <c r="A366" s="4"/>
      <c r="B366" s="4"/>
      <c r="C366" s="4"/>
      <c r="D366" s="5"/>
      <c r="E366" s="4"/>
    </row>
    <row r="367" spans="1:5" ht="14.25" customHeight="1" x14ac:dyDescent="0.3">
      <c r="A367" s="4"/>
      <c r="B367" s="4"/>
      <c r="C367" s="4"/>
      <c r="D367" s="5"/>
      <c r="E367" s="4"/>
    </row>
    <row r="368" spans="1:5" ht="14.25" customHeight="1" x14ac:dyDescent="0.3">
      <c r="A368" s="4"/>
      <c r="B368" s="4"/>
      <c r="C368" s="4"/>
      <c r="D368" s="5"/>
      <c r="E368" s="4"/>
    </row>
    <row r="369" spans="1:5" ht="14.25" customHeight="1" x14ac:dyDescent="0.3">
      <c r="A369" s="4"/>
      <c r="B369" s="4"/>
      <c r="C369" s="4"/>
      <c r="D369" s="5"/>
      <c r="E369" s="4"/>
    </row>
    <row r="370" spans="1:5" ht="14.25" customHeight="1" x14ac:dyDescent="0.3">
      <c r="A370" s="4"/>
      <c r="B370" s="4"/>
      <c r="C370" s="4"/>
      <c r="D370" s="5"/>
      <c r="E370" s="4"/>
    </row>
    <row r="371" spans="1:5" ht="14.25" customHeight="1" x14ac:dyDescent="0.3">
      <c r="A371" s="4"/>
      <c r="B371" s="4"/>
      <c r="C371" s="4"/>
      <c r="D371" s="5"/>
      <c r="E371" s="4"/>
    </row>
    <row r="372" spans="1:5" ht="14.25" customHeight="1" x14ac:dyDescent="0.3">
      <c r="A372" s="4"/>
      <c r="B372" s="4"/>
      <c r="C372" s="4"/>
      <c r="D372" s="5"/>
      <c r="E372" s="4"/>
    </row>
    <row r="373" spans="1:5" ht="14.25" customHeight="1" x14ac:dyDescent="0.3">
      <c r="A373" s="4"/>
      <c r="B373" s="4"/>
      <c r="C373" s="4"/>
      <c r="D373" s="5"/>
      <c r="E373" s="4"/>
    </row>
    <row r="374" spans="1:5" ht="14.25" customHeight="1" x14ac:dyDescent="0.3">
      <c r="A374" s="4"/>
      <c r="B374" s="4"/>
      <c r="C374" s="4"/>
      <c r="D374" s="5"/>
      <c r="E374" s="4"/>
    </row>
    <row r="375" spans="1:5" ht="14.25" customHeight="1" x14ac:dyDescent="0.3">
      <c r="A375" s="4"/>
      <c r="B375" s="4"/>
      <c r="C375" s="4"/>
      <c r="D375" s="5"/>
      <c r="E375" s="4"/>
    </row>
    <row r="376" spans="1:5" ht="14.25" customHeight="1" x14ac:dyDescent="0.3">
      <c r="A376" s="4"/>
      <c r="B376" s="4"/>
      <c r="C376" s="4"/>
      <c r="D376" s="5"/>
      <c r="E376" s="4"/>
    </row>
    <row r="377" spans="1:5" ht="14.25" customHeight="1" x14ac:dyDescent="0.3">
      <c r="A377" s="4"/>
      <c r="B377" s="4"/>
      <c r="C377" s="4"/>
      <c r="D377" s="5"/>
      <c r="E377" s="4"/>
    </row>
    <row r="378" spans="1:5" ht="14.25" customHeight="1" x14ac:dyDescent="0.3">
      <c r="A378" s="4"/>
      <c r="B378" s="4"/>
      <c r="C378" s="4"/>
      <c r="D378" s="5"/>
      <c r="E378" s="4"/>
    </row>
    <row r="379" spans="1:5" ht="14.25" customHeight="1" x14ac:dyDescent="0.3">
      <c r="A379" s="4"/>
      <c r="B379" s="4"/>
      <c r="C379" s="4"/>
      <c r="D379" s="5"/>
      <c r="E379" s="4"/>
    </row>
    <row r="380" spans="1:5" ht="14.25" customHeight="1" x14ac:dyDescent="0.3">
      <c r="A380" s="4"/>
      <c r="B380" s="4"/>
      <c r="C380" s="4"/>
      <c r="D380" s="5"/>
      <c r="E380" s="4"/>
    </row>
    <row r="381" spans="1:5" ht="14.25" customHeight="1" x14ac:dyDescent="0.3">
      <c r="A381" s="4"/>
      <c r="B381" s="4"/>
      <c r="C381" s="4"/>
      <c r="D381" s="5"/>
      <c r="E381" s="4"/>
    </row>
    <row r="382" spans="1:5" ht="14.25" customHeight="1" x14ac:dyDescent="0.3">
      <c r="A382" s="4"/>
      <c r="B382" s="4"/>
      <c r="C382" s="4"/>
      <c r="D382" s="5"/>
      <c r="E382" s="4"/>
    </row>
    <row r="383" spans="1:5" ht="14.25" customHeight="1" x14ac:dyDescent="0.3">
      <c r="A383" s="4"/>
      <c r="B383" s="4"/>
      <c r="C383" s="4"/>
      <c r="D383" s="5"/>
      <c r="E383" s="4"/>
    </row>
    <row r="384" spans="1:5" ht="14.25" customHeight="1" x14ac:dyDescent="0.3">
      <c r="A384" s="4"/>
      <c r="B384" s="4"/>
      <c r="C384" s="4"/>
      <c r="D384" s="5"/>
      <c r="E384" s="4"/>
    </row>
    <row r="385" spans="1:5" ht="14.25" customHeight="1" x14ac:dyDescent="0.3">
      <c r="A385" s="4"/>
      <c r="B385" s="4"/>
      <c r="C385" s="4"/>
      <c r="D385" s="5"/>
      <c r="E385" s="4"/>
    </row>
    <row r="386" spans="1:5" ht="14.25" customHeight="1" x14ac:dyDescent="0.3">
      <c r="A386" s="4"/>
      <c r="B386" s="4"/>
      <c r="C386" s="4"/>
      <c r="D386" s="5"/>
      <c r="E386" s="4"/>
    </row>
    <row r="387" spans="1:5" ht="14.25" customHeight="1" x14ac:dyDescent="0.3">
      <c r="A387" s="4"/>
      <c r="B387" s="4"/>
      <c r="C387" s="4"/>
      <c r="D387" s="5"/>
      <c r="E387" s="4"/>
    </row>
    <row r="388" spans="1:5" ht="14.25" customHeight="1" x14ac:dyDescent="0.3">
      <c r="A388" s="4"/>
      <c r="B388" s="4"/>
      <c r="C388" s="4"/>
      <c r="D388" s="5"/>
      <c r="E388" s="4"/>
    </row>
    <row r="389" spans="1:5" ht="14.25" customHeight="1" x14ac:dyDescent="0.3">
      <c r="A389" s="4"/>
      <c r="B389" s="4"/>
      <c r="C389" s="4"/>
      <c r="D389" s="5"/>
      <c r="E389" s="4"/>
    </row>
    <row r="390" spans="1:5" ht="14.25" customHeight="1" x14ac:dyDescent="0.3">
      <c r="A390" s="4"/>
      <c r="B390" s="4"/>
      <c r="C390" s="4"/>
      <c r="D390" s="5"/>
      <c r="E390" s="4"/>
    </row>
    <row r="391" spans="1:5" ht="14.25" customHeight="1" x14ac:dyDescent="0.3">
      <c r="A391" s="4"/>
      <c r="B391" s="4"/>
      <c r="C391" s="4"/>
      <c r="D391" s="5"/>
      <c r="E391" s="4"/>
    </row>
    <row r="392" spans="1:5" ht="14.25" customHeight="1" x14ac:dyDescent="0.3">
      <c r="A392" s="4"/>
      <c r="B392" s="4"/>
      <c r="C392" s="4"/>
      <c r="D392" s="5"/>
      <c r="E392" s="4"/>
    </row>
    <row r="393" spans="1:5" ht="14.25" customHeight="1" x14ac:dyDescent="0.3">
      <c r="A393" s="4"/>
      <c r="B393" s="4"/>
      <c r="C393" s="4"/>
      <c r="D393" s="5"/>
      <c r="E393" s="4"/>
    </row>
    <row r="394" spans="1:5" ht="14.25" customHeight="1" x14ac:dyDescent="0.3">
      <c r="A394" s="4"/>
      <c r="B394" s="4"/>
      <c r="C394" s="4"/>
      <c r="D394" s="5"/>
      <c r="E394" s="4"/>
    </row>
    <row r="395" spans="1:5" ht="14.25" customHeight="1" x14ac:dyDescent="0.3">
      <c r="A395" s="4"/>
      <c r="B395" s="4"/>
      <c r="C395" s="4"/>
      <c r="D395" s="5"/>
      <c r="E395" s="4"/>
    </row>
    <row r="396" spans="1:5" ht="14.25" customHeight="1" x14ac:dyDescent="0.3">
      <c r="A396" s="4"/>
      <c r="B396" s="4"/>
      <c r="C396" s="4"/>
      <c r="D396" s="5"/>
      <c r="E396" s="4"/>
    </row>
    <row r="397" spans="1:5" ht="14.25" customHeight="1" x14ac:dyDescent="0.3">
      <c r="A397" s="4"/>
      <c r="B397" s="4"/>
      <c r="C397" s="4"/>
      <c r="D397" s="5"/>
      <c r="E397" s="4"/>
    </row>
    <row r="398" spans="1:5" ht="14.25" customHeight="1" x14ac:dyDescent="0.3">
      <c r="A398" s="4"/>
      <c r="B398" s="4"/>
      <c r="C398" s="4"/>
      <c r="D398" s="5"/>
      <c r="E398" s="4"/>
    </row>
    <row r="399" spans="1:5" ht="14.25" customHeight="1" x14ac:dyDescent="0.3">
      <c r="A399" s="4"/>
      <c r="B399" s="4"/>
      <c r="C399" s="4"/>
      <c r="D399" s="5"/>
      <c r="E399" s="4"/>
    </row>
    <row r="400" spans="1:5" ht="14.25" customHeight="1" x14ac:dyDescent="0.3">
      <c r="A400" s="4"/>
      <c r="B400" s="4"/>
      <c r="C400" s="4"/>
      <c r="D400" s="5"/>
      <c r="E400" s="4"/>
    </row>
    <row r="401" spans="1:5" ht="14.25" customHeight="1" x14ac:dyDescent="0.3">
      <c r="A401" s="4"/>
      <c r="B401" s="4"/>
      <c r="C401" s="4"/>
      <c r="D401" s="5"/>
      <c r="E401" s="4"/>
    </row>
    <row r="402" spans="1:5" ht="14.25" customHeight="1" x14ac:dyDescent="0.3">
      <c r="A402" s="4"/>
      <c r="B402" s="4"/>
      <c r="C402" s="4"/>
      <c r="D402" s="5"/>
      <c r="E402" s="4"/>
    </row>
    <row r="403" spans="1:5" ht="14.25" customHeight="1" x14ac:dyDescent="0.3">
      <c r="A403" s="4"/>
      <c r="B403" s="4"/>
      <c r="C403" s="4"/>
      <c r="D403" s="5"/>
      <c r="E403" s="4"/>
    </row>
    <row r="404" spans="1:5" ht="14.25" customHeight="1" x14ac:dyDescent="0.3">
      <c r="A404" s="4"/>
      <c r="B404" s="4"/>
      <c r="C404" s="4"/>
      <c r="D404" s="5"/>
      <c r="E404" s="4"/>
    </row>
    <row r="405" spans="1:5" ht="14.25" customHeight="1" x14ac:dyDescent="0.3">
      <c r="A405" s="4"/>
      <c r="B405" s="4"/>
      <c r="C405" s="4"/>
      <c r="D405" s="5"/>
      <c r="E405" s="4"/>
    </row>
    <row r="406" spans="1:5" ht="14.25" customHeight="1" x14ac:dyDescent="0.3">
      <c r="A406" s="4"/>
      <c r="B406" s="4"/>
      <c r="C406" s="4"/>
      <c r="D406" s="5"/>
      <c r="E406" s="4"/>
    </row>
    <row r="407" spans="1:5" ht="14.25" customHeight="1" x14ac:dyDescent="0.3">
      <c r="A407" s="4"/>
      <c r="B407" s="4"/>
      <c r="C407" s="4"/>
      <c r="D407" s="5"/>
      <c r="E407" s="4"/>
    </row>
    <row r="408" spans="1:5" ht="14.25" customHeight="1" x14ac:dyDescent="0.3">
      <c r="A408" s="4"/>
      <c r="B408" s="4"/>
      <c r="C408" s="4"/>
      <c r="D408" s="5"/>
      <c r="E408" s="4"/>
    </row>
    <row r="409" spans="1:5" ht="14.25" customHeight="1" x14ac:dyDescent="0.3">
      <c r="A409" s="4"/>
      <c r="B409" s="4"/>
      <c r="C409" s="4"/>
      <c r="D409" s="5"/>
      <c r="E409" s="4"/>
    </row>
    <row r="410" spans="1:5" ht="14.25" customHeight="1" x14ac:dyDescent="0.3">
      <c r="A410" s="4"/>
      <c r="B410" s="4"/>
      <c r="C410" s="4"/>
      <c r="D410" s="5"/>
      <c r="E410" s="4"/>
    </row>
    <row r="411" spans="1:5" ht="14.25" customHeight="1" x14ac:dyDescent="0.3">
      <c r="A411" s="4"/>
      <c r="B411" s="4"/>
      <c r="C411" s="4"/>
      <c r="D411" s="5"/>
      <c r="E411" s="4"/>
    </row>
    <row r="412" spans="1:5" ht="14.25" customHeight="1" x14ac:dyDescent="0.3">
      <c r="A412" s="4"/>
      <c r="B412" s="4"/>
      <c r="C412" s="4"/>
      <c r="D412" s="5"/>
      <c r="E412" s="4"/>
    </row>
    <row r="413" spans="1:5" ht="14.25" customHeight="1" x14ac:dyDescent="0.3">
      <c r="A413" s="4"/>
      <c r="B413" s="4"/>
      <c r="C413" s="4"/>
      <c r="D413" s="5"/>
      <c r="E413" s="4"/>
    </row>
    <row r="414" spans="1:5" ht="14.25" customHeight="1" x14ac:dyDescent="0.3">
      <c r="A414" s="4"/>
      <c r="B414" s="4"/>
      <c r="C414" s="4"/>
      <c r="D414" s="5"/>
      <c r="E414" s="4"/>
    </row>
    <row r="415" spans="1:5" ht="14.25" customHeight="1" x14ac:dyDescent="0.3">
      <c r="A415" s="4"/>
      <c r="B415" s="4"/>
      <c r="C415" s="4"/>
      <c r="D415" s="5"/>
      <c r="E415" s="4"/>
    </row>
    <row r="416" spans="1:5" ht="14.25" customHeight="1" x14ac:dyDescent="0.3">
      <c r="A416" s="4"/>
      <c r="B416" s="4"/>
      <c r="C416" s="4"/>
      <c r="D416" s="5"/>
      <c r="E416" s="4"/>
    </row>
    <row r="417" spans="1:5" ht="14.25" customHeight="1" x14ac:dyDescent="0.3">
      <c r="A417" s="4"/>
      <c r="B417" s="4"/>
      <c r="C417" s="4"/>
      <c r="D417" s="5"/>
      <c r="E417" s="4"/>
    </row>
    <row r="418" spans="1:5" ht="14.25" customHeight="1" x14ac:dyDescent="0.3">
      <c r="A418" s="4"/>
      <c r="B418" s="4"/>
      <c r="C418" s="4"/>
      <c r="D418" s="5"/>
      <c r="E418" s="4"/>
    </row>
    <row r="419" spans="1:5" ht="14.25" customHeight="1" x14ac:dyDescent="0.3">
      <c r="A419" s="4"/>
      <c r="B419" s="4"/>
      <c r="C419" s="4"/>
      <c r="D419" s="5"/>
      <c r="E419" s="4"/>
    </row>
    <row r="420" spans="1:5" ht="14.25" customHeight="1" x14ac:dyDescent="0.3">
      <c r="A420" s="4"/>
      <c r="B420" s="4"/>
      <c r="C420" s="4"/>
      <c r="D420" s="5"/>
      <c r="E420" s="4"/>
    </row>
    <row r="421" spans="1:5" ht="14.25" customHeight="1" x14ac:dyDescent="0.3">
      <c r="A421" s="4"/>
      <c r="B421" s="4"/>
      <c r="C421" s="4"/>
      <c r="D421" s="5"/>
      <c r="E421" s="4"/>
    </row>
    <row r="422" spans="1:5" ht="14.25" customHeight="1" x14ac:dyDescent="0.3">
      <c r="A422" s="4"/>
      <c r="B422" s="4"/>
      <c r="C422" s="4"/>
      <c r="D422" s="5"/>
      <c r="E422" s="4"/>
    </row>
    <row r="423" spans="1:5" ht="14.25" customHeight="1" x14ac:dyDescent="0.3">
      <c r="A423" s="4"/>
      <c r="B423" s="4"/>
      <c r="C423" s="4"/>
      <c r="D423" s="5"/>
      <c r="E423" s="4"/>
    </row>
    <row r="424" spans="1:5" ht="14.25" customHeight="1" x14ac:dyDescent="0.3">
      <c r="A424" s="4"/>
      <c r="B424" s="4"/>
      <c r="C424" s="4"/>
      <c r="D424" s="5"/>
      <c r="E424" s="4"/>
    </row>
    <row r="425" spans="1:5" ht="14.25" customHeight="1" x14ac:dyDescent="0.3">
      <c r="A425" s="4"/>
      <c r="B425" s="4"/>
      <c r="C425" s="4"/>
      <c r="D425" s="5"/>
      <c r="E425" s="4"/>
    </row>
    <row r="426" spans="1:5" ht="14.25" customHeight="1" x14ac:dyDescent="0.3">
      <c r="A426" s="4"/>
      <c r="B426" s="4"/>
      <c r="C426" s="4"/>
      <c r="D426" s="5"/>
      <c r="E426" s="4"/>
    </row>
    <row r="427" spans="1:5" ht="14.25" customHeight="1" x14ac:dyDescent="0.3">
      <c r="A427" s="4"/>
      <c r="B427" s="4"/>
      <c r="C427" s="4"/>
      <c r="D427" s="5"/>
      <c r="E427" s="4"/>
    </row>
    <row r="428" spans="1:5" ht="14.25" customHeight="1" x14ac:dyDescent="0.3">
      <c r="A428" s="4"/>
      <c r="B428" s="4"/>
      <c r="C428" s="4"/>
      <c r="D428" s="5"/>
      <c r="E428" s="4"/>
    </row>
    <row r="429" spans="1:5" ht="14.25" customHeight="1" x14ac:dyDescent="0.3">
      <c r="A429" s="4"/>
      <c r="B429" s="4"/>
      <c r="C429" s="4"/>
      <c r="D429" s="5"/>
      <c r="E429" s="4"/>
    </row>
    <row r="430" spans="1:5" ht="14.25" customHeight="1" x14ac:dyDescent="0.3">
      <c r="A430" s="4"/>
      <c r="B430" s="4"/>
      <c r="C430" s="4"/>
      <c r="D430" s="5"/>
      <c r="E430" s="4"/>
    </row>
    <row r="431" spans="1:5" ht="14.25" customHeight="1" x14ac:dyDescent="0.3">
      <c r="A431" s="4"/>
      <c r="B431" s="4"/>
      <c r="C431" s="4"/>
      <c r="D431" s="5"/>
      <c r="E431" s="4"/>
    </row>
    <row r="432" spans="1:5" ht="14.25" customHeight="1" x14ac:dyDescent="0.3">
      <c r="A432" s="4"/>
      <c r="B432" s="4"/>
      <c r="C432" s="4"/>
      <c r="D432" s="5"/>
      <c r="E432" s="4"/>
    </row>
    <row r="433" spans="1:5" ht="14.25" customHeight="1" x14ac:dyDescent="0.3">
      <c r="A433" s="4"/>
      <c r="B433" s="4"/>
      <c r="C433" s="4"/>
      <c r="D433" s="5"/>
      <c r="E433" s="4"/>
    </row>
    <row r="434" spans="1:5" ht="14.25" customHeight="1" x14ac:dyDescent="0.3">
      <c r="A434" s="4"/>
      <c r="B434" s="4"/>
      <c r="C434" s="4"/>
      <c r="D434" s="5"/>
      <c r="E434" s="4"/>
    </row>
    <row r="435" spans="1:5" ht="14.25" customHeight="1" x14ac:dyDescent="0.3">
      <c r="A435" s="4"/>
      <c r="B435" s="4"/>
      <c r="C435" s="4"/>
      <c r="D435" s="5"/>
      <c r="E435" s="4"/>
    </row>
    <row r="436" spans="1:5" ht="14.25" customHeight="1" x14ac:dyDescent="0.3">
      <c r="A436" s="4"/>
      <c r="B436" s="4"/>
      <c r="C436" s="4"/>
      <c r="D436" s="5"/>
      <c r="E436" s="4"/>
    </row>
    <row r="437" spans="1:5" ht="14.25" customHeight="1" x14ac:dyDescent="0.3">
      <c r="A437" s="4"/>
      <c r="B437" s="4"/>
      <c r="C437" s="4"/>
      <c r="D437" s="5"/>
      <c r="E437" s="4"/>
    </row>
    <row r="438" spans="1:5" ht="14.25" customHeight="1" x14ac:dyDescent="0.3">
      <c r="A438" s="4"/>
      <c r="B438" s="4"/>
      <c r="C438" s="4"/>
      <c r="D438" s="5"/>
      <c r="E438" s="4"/>
    </row>
    <row r="439" spans="1:5" ht="14.25" customHeight="1" x14ac:dyDescent="0.3">
      <c r="A439" s="4"/>
      <c r="B439" s="4"/>
      <c r="C439" s="4"/>
      <c r="D439" s="5"/>
      <c r="E439" s="4"/>
    </row>
    <row r="440" spans="1:5" ht="14.25" customHeight="1" x14ac:dyDescent="0.3">
      <c r="A440" s="4"/>
      <c r="B440" s="4"/>
      <c r="C440" s="4"/>
      <c r="D440" s="5"/>
      <c r="E440" s="4"/>
    </row>
    <row r="441" spans="1:5" ht="14.25" customHeight="1" x14ac:dyDescent="0.3">
      <c r="A441" s="4"/>
      <c r="B441" s="4"/>
      <c r="C441" s="4"/>
      <c r="D441" s="5"/>
      <c r="E441" s="4"/>
    </row>
    <row r="442" spans="1:5" ht="14.25" customHeight="1" x14ac:dyDescent="0.3">
      <c r="A442" s="4"/>
      <c r="B442" s="4"/>
      <c r="C442" s="4"/>
      <c r="D442" s="5"/>
      <c r="E442" s="4"/>
    </row>
    <row r="443" spans="1:5" ht="14.25" customHeight="1" x14ac:dyDescent="0.3">
      <c r="A443" s="4"/>
      <c r="B443" s="4"/>
      <c r="C443" s="4"/>
      <c r="D443" s="5"/>
      <c r="E443" s="4"/>
    </row>
    <row r="444" spans="1:5" ht="14.25" customHeight="1" x14ac:dyDescent="0.3">
      <c r="A444" s="4"/>
      <c r="B444" s="4"/>
      <c r="C444" s="4"/>
      <c r="D444" s="5"/>
      <c r="E444" s="4"/>
    </row>
    <row r="445" spans="1:5" ht="14.25" customHeight="1" x14ac:dyDescent="0.3">
      <c r="A445" s="4"/>
      <c r="B445" s="4"/>
      <c r="C445" s="4"/>
      <c r="D445" s="5"/>
      <c r="E445" s="4"/>
    </row>
    <row r="446" spans="1:5" ht="14.25" customHeight="1" x14ac:dyDescent="0.3">
      <c r="A446" s="4"/>
      <c r="B446" s="4"/>
      <c r="C446" s="4"/>
      <c r="D446" s="5"/>
      <c r="E446" s="4"/>
    </row>
    <row r="447" spans="1:5" ht="14.25" customHeight="1" x14ac:dyDescent="0.3">
      <c r="A447" s="4"/>
      <c r="B447" s="4"/>
      <c r="C447" s="4"/>
      <c r="D447" s="5"/>
      <c r="E447" s="4"/>
    </row>
    <row r="448" spans="1:5" ht="14.25" customHeight="1" x14ac:dyDescent="0.3">
      <c r="A448" s="4"/>
      <c r="B448" s="4"/>
      <c r="C448" s="4"/>
      <c r="D448" s="5"/>
      <c r="E448" s="4"/>
    </row>
    <row r="449" spans="1:5" ht="14.25" customHeight="1" x14ac:dyDescent="0.3">
      <c r="A449" s="4"/>
      <c r="B449" s="4"/>
      <c r="C449" s="4"/>
      <c r="D449" s="5"/>
      <c r="E449" s="4"/>
    </row>
    <row r="450" spans="1:5" ht="14.25" customHeight="1" x14ac:dyDescent="0.3">
      <c r="A450" s="4"/>
      <c r="B450" s="4"/>
      <c r="C450" s="4"/>
      <c r="D450" s="5"/>
      <c r="E450" s="4"/>
    </row>
    <row r="451" spans="1:5" ht="14.25" customHeight="1" x14ac:dyDescent="0.3">
      <c r="A451" s="4"/>
      <c r="B451" s="4"/>
      <c r="C451" s="4"/>
      <c r="D451" s="5"/>
      <c r="E451" s="4"/>
    </row>
    <row r="452" spans="1:5" ht="14.25" customHeight="1" x14ac:dyDescent="0.3">
      <c r="A452" s="4"/>
      <c r="B452" s="4"/>
      <c r="C452" s="4"/>
      <c r="D452" s="5"/>
      <c r="E452" s="4"/>
    </row>
    <row r="453" spans="1:5" ht="14.25" customHeight="1" x14ac:dyDescent="0.3">
      <c r="A453" s="4"/>
      <c r="B453" s="4"/>
      <c r="C453" s="4"/>
      <c r="D453" s="5"/>
      <c r="E453" s="4"/>
    </row>
    <row r="454" spans="1:5" ht="14.25" customHeight="1" x14ac:dyDescent="0.3">
      <c r="A454" s="4"/>
      <c r="B454" s="4"/>
      <c r="C454" s="4"/>
      <c r="D454" s="5"/>
      <c r="E454" s="4"/>
    </row>
    <row r="455" spans="1:5" ht="14.25" customHeight="1" x14ac:dyDescent="0.3">
      <c r="A455" s="4"/>
      <c r="B455" s="4"/>
      <c r="C455" s="4"/>
      <c r="D455" s="5"/>
      <c r="E455" s="4"/>
    </row>
    <row r="456" spans="1:5" ht="14.25" customHeight="1" x14ac:dyDescent="0.3">
      <c r="A456" s="4"/>
      <c r="B456" s="4"/>
      <c r="C456" s="4"/>
      <c r="D456" s="5"/>
      <c r="E456" s="4"/>
    </row>
    <row r="457" spans="1:5" ht="14.25" customHeight="1" x14ac:dyDescent="0.3">
      <c r="A457" s="4"/>
      <c r="B457" s="4"/>
      <c r="C457" s="4"/>
      <c r="D457" s="5"/>
      <c r="E457" s="4"/>
    </row>
    <row r="458" spans="1:5" ht="14.25" customHeight="1" x14ac:dyDescent="0.3">
      <c r="A458" s="4"/>
      <c r="B458" s="4"/>
      <c r="C458" s="4"/>
      <c r="D458" s="5"/>
      <c r="E458" s="4"/>
    </row>
    <row r="459" spans="1:5" ht="14.25" customHeight="1" x14ac:dyDescent="0.3">
      <c r="A459" s="4"/>
      <c r="B459" s="4"/>
      <c r="C459" s="4"/>
      <c r="D459" s="5"/>
      <c r="E459" s="4"/>
    </row>
    <row r="460" spans="1:5" ht="14.25" customHeight="1" x14ac:dyDescent="0.3">
      <c r="A460" s="4"/>
      <c r="B460" s="4"/>
      <c r="C460" s="4"/>
      <c r="D460" s="5"/>
      <c r="E460" s="4"/>
    </row>
    <row r="461" spans="1:5" ht="14.25" customHeight="1" x14ac:dyDescent="0.3">
      <c r="A461" s="4"/>
      <c r="B461" s="4"/>
      <c r="C461" s="4"/>
      <c r="D461" s="5"/>
      <c r="E461" s="4"/>
    </row>
    <row r="462" spans="1:5" ht="14.25" customHeight="1" x14ac:dyDescent="0.3">
      <c r="A462" s="4"/>
      <c r="B462" s="4"/>
      <c r="C462" s="4"/>
      <c r="D462" s="5"/>
      <c r="E462" s="4"/>
    </row>
    <row r="463" spans="1:5" ht="14.25" customHeight="1" x14ac:dyDescent="0.3">
      <c r="A463" s="4"/>
      <c r="B463" s="4"/>
      <c r="C463" s="4"/>
      <c r="D463" s="5"/>
      <c r="E463" s="4"/>
    </row>
    <row r="464" spans="1:5" ht="14.25" customHeight="1" x14ac:dyDescent="0.3">
      <c r="A464" s="4"/>
      <c r="B464" s="4"/>
      <c r="C464" s="4"/>
      <c r="D464" s="5"/>
      <c r="E464" s="4"/>
    </row>
    <row r="465" spans="1:5" ht="14.25" customHeight="1" x14ac:dyDescent="0.3">
      <c r="A465" s="4"/>
      <c r="B465" s="4"/>
      <c r="C465" s="4"/>
      <c r="D465" s="5"/>
      <c r="E465" s="4"/>
    </row>
    <row r="466" spans="1:5" ht="14.25" customHeight="1" x14ac:dyDescent="0.3">
      <c r="A466" s="4"/>
      <c r="B466" s="4"/>
      <c r="C466" s="4"/>
      <c r="D466" s="5"/>
      <c r="E466" s="4"/>
    </row>
    <row r="467" spans="1:5" ht="14.25" customHeight="1" x14ac:dyDescent="0.3">
      <c r="A467" s="4"/>
      <c r="B467" s="4"/>
      <c r="C467" s="4"/>
      <c r="D467" s="5"/>
      <c r="E467" s="4"/>
    </row>
    <row r="468" spans="1:5" ht="14.25" customHeight="1" x14ac:dyDescent="0.3">
      <c r="A468" s="4"/>
      <c r="B468" s="4"/>
      <c r="C468" s="4"/>
      <c r="D468" s="5"/>
      <c r="E468" s="4"/>
    </row>
    <row r="469" spans="1:5" ht="14.25" customHeight="1" x14ac:dyDescent="0.3">
      <c r="A469" s="4"/>
      <c r="B469" s="4"/>
      <c r="C469" s="4"/>
      <c r="D469" s="5"/>
      <c r="E469" s="4"/>
    </row>
    <row r="470" spans="1:5" ht="14.25" customHeight="1" x14ac:dyDescent="0.3">
      <c r="A470" s="4"/>
      <c r="B470" s="4"/>
      <c r="C470" s="4"/>
      <c r="D470" s="5"/>
      <c r="E470" s="4"/>
    </row>
    <row r="471" spans="1:5" ht="14.25" customHeight="1" x14ac:dyDescent="0.3">
      <c r="A471" s="4"/>
      <c r="B471" s="4"/>
      <c r="C471" s="4"/>
      <c r="D471" s="5"/>
      <c r="E471" s="4"/>
    </row>
    <row r="472" spans="1:5" ht="14.25" customHeight="1" x14ac:dyDescent="0.3">
      <c r="A472" s="4"/>
      <c r="B472" s="4"/>
      <c r="C472" s="4"/>
      <c r="D472" s="5"/>
      <c r="E472" s="4"/>
    </row>
    <row r="473" spans="1:5" ht="14.25" customHeight="1" x14ac:dyDescent="0.3">
      <c r="A473" s="4"/>
      <c r="B473" s="4"/>
      <c r="C473" s="4"/>
      <c r="D473" s="5"/>
      <c r="E473" s="4"/>
    </row>
    <row r="474" spans="1:5" ht="14.25" customHeight="1" x14ac:dyDescent="0.3">
      <c r="A474" s="4"/>
      <c r="B474" s="4"/>
      <c r="C474" s="4"/>
      <c r="D474" s="5"/>
      <c r="E474" s="4"/>
    </row>
    <row r="475" spans="1:5" ht="14.25" customHeight="1" x14ac:dyDescent="0.3">
      <c r="A475" s="4"/>
      <c r="B475" s="4"/>
      <c r="C475" s="4"/>
      <c r="D475" s="5"/>
      <c r="E475" s="4"/>
    </row>
    <row r="476" spans="1:5" ht="14.25" customHeight="1" x14ac:dyDescent="0.3">
      <c r="A476" s="4"/>
      <c r="B476" s="4"/>
      <c r="C476" s="4"/>
      <c r="D476" s="5"/>
      <c r="E476" s="4"/>
    </row>
    <row r="477" spans="1:5" ht="14.25" customHeight="1" x14ac:dyDescent="0.3">
      <c r="A477" s="4"/>
      <c r="B477" s="4"/>
      <c r="C477" s="4"/>
      <c r="D477" s="5"/>
      <c r="E477" s="4"/>
    </row>
    <row r="478" spans="1:5" ht="14.25" customHeight="1" x14ac:dyDescent="0.3">
      <c r="A478" s="4"/>
      <c r="B478" s="4"/>
      <c r="C478" s="4"/>
      <c r="D478" s="5"/>
      <c r="E478" s="4"/>
    </row>
    <row r="479" spans="1:5" ht="14.25" customHeight="1" x14ac:dyDescent="0.3">
      <c r="A479" s="4"/>
      <c r="B479" s="4"/>
      <c r="C479" s="4"/>
      <c r="D479" s="5"/>
      <c r="E479" s="4"/>
    </row>
    <row r="480" spans="1:5" ht="14.25" customHeight="1" x14ac:dyDescent="0.3">
      <c r="A480" s="4"/>
      <c r="B480" s="4"/>
      <c r="C480" s="4"/>
      <c r="D480" s="5"/>
      <c r="E480" s="4"/>
    </row>
    <row r="481" spans="1:5" ht="14.25" customHeight="1" x14ac:dyDescent="0.3">
      <c r="A481" s="4"/>
      <c r="B481" s="4"/>
      <c r="C481" s="4"/>
      <c r="D481" s="5"/>
      <c r="E481" s="4"/>
    </row>
    <row r="482" spans="1:5" ht="14.25" customHeight="1" x14ac:dyDescent="0.3">
      <c r="A482" s="4"/>
      <c r="B482" s="4"/>
      <c r="C482" s="4"/>
      <c r="D482" s="5"/>
      <c r="E482" s="4"/>
    </row>
    <row r="483" spans="1:5" ht="14.25" customHeight="1" x14ac:dyDescent="0.3">
      <c r="A483" s="4"/>
      <c r="B483" s="4"/>
      <c r="C483" s="4"/>
      <c r="D483" s="5"/>
      <c r="E483" s="4"/>
    </row>
    <row r="484" spans="1:5" ht="14.25" customHeight="1" x14ac:dyDescent="0.3">
      <c r="A484" s="4"/>
      <c r="B484" s="4"/>
      <c r="C484" s="4"/>
      <c r="D484" s="5"/>
      <c r="E484" s="4"/>
    </row>
    <row r="485" spans="1:5" ht="14.25" customHeight="1" x14ac:dyDescent="0.3">
      <c r="A485" s="4"/>
      <c r="B485" s="4"/>
      <c r="C485" s="4"/>
      <c r="D485" s="5"/>
      <c r="E485" s="4"/>
    </row>
    <row r="486" spans="1:5" ht="14.25" customHeight="1" x14ac:dyDescent="0.3">
      <c r="A486" s="4"/>
      <c r="B486" s="4"/>
      <c r="C486" s="4"/>
      <c r="D486" s="5"/>
      <c r="E486" s="4"/>
    </row>
    <row r="487" spans="1:5" ht="14.25" customHeight="1" x14ac:dyDescent="0.3">
      <c r="A487" s="4"/>
      <c r="B487" s="4"/>
      <c r="C487" s="4"/>
      <c r="D487" s="5"/>
      <c r="E487" s="4"/>
    </row>
    <row r="488" spans="1:5" ht="14.25" customHeight="1" x14ac:dyDescent="0.3">
      <c r="A488" s="4"/>
      <c r="B488" s="4"/>
      <c r="C488" s="4"/>
      <c r="D488" s="5"/>
      <c r="E488" s="4"/>
    </row>
    <row r="489" spans="1:5" ht="14.25" customHeight="1" x14ac:dyDescent="0.3">
      <c r="A489" s="4"/>
      <c r="B489" s="4"/>
      <c r="C489" s="4"/>
      <c r="D489" s="5"/>
      <c r="E489" s="4"/>
    </row>
    <row r="490" spans="1:5" ht="14.25" customHeight="1" x14ac:dyDescent="0.3">
      <c r="A490" s="4"/>
      <c r="B490" s="4"/>
      <c r="C490" s="4"/>
      <c r="D490" s="5"/>
      <c r="E490" s="4"/>
    </row>
    <row r="491" spans="1:5" ht="14.25" customHeight="1" x14ac:dyDescent="0.3">
      <c r="A491" s="4"/>
      <c r="B491" s="4"/>
      <c r="C491" s="4"/>
      <c r="D491" s="5"/>
      <c r="E491" s="4"/>
    </row>
    <row r="492" spans="1:5" ht="14.25" customHeight="1" x14ac:dyDescent="0.3">
      <c r="A492" s="4"/>
      <c r="B492" s="4"/>
      <c r="C492" s="4"/>
      <c r="D492" s="5"/>
      <c r="E492" s="4"/>
    </row>
    <row r="493" spans="1:5" ht="14.25" customHeight="1" x14ac:dyDescent="0.3">
      <c r="A493" s="4"/>
      <c r="B493" s="4"/>
      <c r="C493" s="4"/>
      <c r="D493" s="5"/>
      <c r="E493" s="4"/>
    </row>
    <row r="494" spans="1:5" ht="14.25" customHeight="1" x14ac:dyDescent="0.3">
      <c r="A494" s="4"/>
      <c r="B494" s="4"/>
      <c r="C494" s="4"/>
      <c r="D494" s="5"/>
      <c r="E494" s="4"/>
    </row>
    <row r="495" spans="1:5" ht="14.25" customHeight="1" x14ac:dyDescent="0.3">
      <c r="A495" s="4"/>
      <c r="B495" s="4"/>
      <c r="C495" s="4"/>
      <c r="D495" s="5"/>
      <c r="E495" s="4"/>
    </row>
    <row r="496" spans="1:5" ht="14.25" customHeight="1" x14ac:dyDescent="0.3">
      <c r="A496" s="4"/>
      <c r="B496" s="4"/>
      <c r="C496" s="4"/>
      <c r="D496" s="5"/>
      <c r="E496" s="4"/>
    </row>
    <row r="497" spans="1:5" ht="14.25" customHeight="1" x14ac:dyDescent="0.3">
      <c r="A497" s="4"/>
      <c r="B497" s="4"/>
      <c r="C497" s="4"/>
      <c r="D497" s="5"/>
      <c r="E497" s="4"/>
    </row>
    <row r="498" spans="1:5" ht="14.25" customHeight="1" x14ac:dyDescent="0.3">
      <c r="A498" s="4"/>
      <c r="B498" s="4"/>
      <c r="C498" s="4"/>
      <c r="D498" s="5"/>
      <c r="E498" s="4"/>
    </row>
    <row r="499" spans="1:5" ht="14.25" customHeight="1" x14ac:dyDescent="0.3">
      <c r="A499" s="4"/>
      <c r="B499" s="4"/>
      <c r="C499" s="4"/>
      <c r="D499" s="5"/>
      <c r="E499" s="4"/>
    </row>
    <row r="500" spans="1:5" ht="14.25" customHeight="1" x14ac:dyDescent="0.3">
      <c r="A500" s="4"/>
      <c r="B500" s="4"/>
      <c r="C500" s="4"/>
      <c r="D500" s="5"/>
      <c r="E500" s="4"/>
    </row>
    <row r="501" spans="1:5" ht="14.25" customHeight="1" x14ac:dyDescent="0.3">
      <c r="A501" s="4"/>
      <c r="B501" s="4"/>
      <c r="C501" s="4"/>
      <c r="D501" s="5"/>
      <c r="E501" s="4"/>
    </row>
    <row r="502" spans="1:5" ht="14.25" customHeight="1" x14ac:dyDescent="0.3">
      <c r="A502" s="4"/>
      <c r="B502" s="4"/>
      <c r="C502" s="4"/>
      <c r="D502" s="5"/>
      <c r="E502" s="4"/>
    </row>
    <row r="503" spans="1:5" ht="14.25" customHeight="1" x14ac:dyDescent="0.3">
      <c r="A503" s="4"/>
      <c r="B503" s="4"/>
      <c r="C503" s="4"/>
      <c r="D503" s="5"/>
      <c r="E503" s="4"/>
    </row>
    <row r="504" spans="1:5" ht="14.25" customHeight="1" x14ac:dyDescent="0.3">
      <c r="A504" s="4"/>
      <c r="B504" s="4"/>
      <c r="C504" s="4"/>
      <c r="D504" s="5"/>
      <c r="E504" s="4"/>
    </row>
    <row r="505" spans="1:5" ht="14.25" customHeight="1" x14ac:dyDescent="0.3">
      <c r="A505" s="4"/>
      <c r="B505" s="4"/>
      <c r="C505" s="4"/>
      <c r="D505" s="5"/>
      <c r="E505" s="4"/>
    </row>
    <row r="506" spans="1:5" ht="14.25" customHeight="1" x14ac:dyDescent="0.3">
      <c r="A506" s="4"/>
      <c r="B506" s="4"/>
      <c r="C506" s="4"/>
      <c r="D506" s="5"/>
      <c r="E506" s="4"/>
    </row>
    <row r="507" spans="1:5" ht="14.25" customHeight="1" x14ac:dyDescent="0.3">
      <c r="A507" s="4"/>
      <c r="B507" s="4"/>
      <c r="C507" s="4"/>
      <c r="D507" s="5"/>
      <c r="E507" s="4"/>
    </row>
    <row r="508" spans="1:5" ht="14.25" customHeight="1" x14ac:dyDescent="0.3">
      <c r="A508" s="4"/>
      <c r="B508" s="4"/>
      <c r="C508" s="4"/>
      <c r="D508" s="5"/>
      <c r="E508" s="4"/>
    </row>
    <row r="509" spans="1:5" ht="14.25" customHeight="1" x14ac:dyDescent="0.3">
      <c r="A509" s="4"/>
      <c r="B509" s="4"/>
      <c r="C509" s="4"/>
      <c r="D509" s="5"/>
      <c r="E509" s="4"/>
    </row>
    <row r="510" spans="1:5" ht="14.25" customHeight="1" x14ac:dyDescent="0.3">
      <c r="A510" s="4"/>
      <c r="B510" s="4"/>
      <c r="C510" s="4"/>
      <c r="D510" s="5"/>
      <c r="E510" s="4"/>
    </row>
    <row r="511" spans="1:5" ht="14.25" customHeight="1" x14ac:dyDescent="0.3">
      <c r="A511" s="4"/>
      <c r="B511" s="4"/>
      <c r="C511" s="4"/>
      <c r="D511" s="5"/>
      <c r="E511" s="4"/>
    </row>
    <row r="512" spans="1:5" ht="14.25" customHeight="1" x14ac:dyDescent="0.3">
      <c r="A512" s="4"/>
      <c r="B512" s="4"/>
      <c r="C512" s="4"/>
      <c r="D512" s="5"/>
      <c r="E512" s="4"/>
    </row>
    <row r="513" spans="1:5" ht="14.25" customHeight="1" x14ac:dyDescent="0.3">
      <c r="A513" s="4"/>
      <c r="B513" s="4"/>
      <c r="C513" s="4"/>
      <c r="D513" s="5"/>
      <c r="E513" s="4"/>
    </row>
    <row r="514" spans="1:5" ht="14.25" customHeight="1" x14ac:dyDescent="0.3">
      <c r="A514" s="4"/>
      <c r="B514" s="4"/>
      <c r="C514" s="4"/>
      <c r="D514" s="5"/>
      <c r="E514" s="4"/>
    </row>
    <row r="515" spans="1:5" ht="14.25" customHeight="1" x14ac:dyDescent="0.3">
      <c r="A515" s="4"/>
      <c r="B515" s="4"/>
      <c r="C515" s="4"/>
      <c r="D515" s="5"/>
      <c r="E515" s="4"/>
    </row>
    <row r="516" spans="1:5" ht="14.25" customHeight="1" x14ac:dyDescent="0.3">
      <c r="A516" s="4"/>
      <c r="B516" s="4"/>
      <c r="C516" s="4"/>
      <c r="D516" s="5"/>
      <c r="E516" s="4"/>
    </row>
    <row r="517" spans="1:5" ht="14.25" customHeight="1" x14ac:dyDescent="0.3">
      <c r="A517" s="4"/>
      <c r="B517" s="4"/>
      <c r="C517" s="4"/>
      <c r="D517" s="5"/>
      <c r="E517" s="4"/>
    </row>
    <row r="518" spans="1:5" ht="14.25" customHeight="1" x14ac:dyDescent="0.3">
      <c r="A518" s="4"/>
      <c r="B518" s="4"/>
      <c r="C518" s="4"/>
      <c r="D518" s="5"/>
      <c r="E518" s="4"/>
    </row>
    <row r="519" spans="1:5" ht="14.25" customHeight="1" x14ac:dyDescent="0.3">
      <c r="A519" s="4"/>
      <c r="B519" s="4"/>
      <c r="C519" s="4"/>
      <c r="D519" s="5"/>
      <c r="E519" s="4"/>
    </row>
    <row r="520" spans="1:5" ht="14.25" customHeight="1" x14ac:dyDescent="0.3">
      <c r="A520" s="4"/>
      <c r="B520" s="4"/>
      <c r="C520" s="4"/>
      <c r="D520" s="5"/>
      <c r="E520" s="4"/>
    </row>
    <row r="521" spans="1:5" ht="14.25" customHeight="1" x14ac:dyDescent="0.3">
      <c r="A521" s="4"/>
      <c r="B521" s="4"/>
      <c r="C521" s="4"/>
      <c r="D521" s="5"/>
      <c r="E521" s="4"/>
    </row>
    <row r="522" spans="1:5" ht="14.25" customHeight="1" x14ac:dyDescent="0.3">
      <c r="A522" s="4"/>
      <c r="B522" s="4"/>
      <c r="C522" s="4"/>
      <c r="D522" s="5"/>
      <c r="E522" s="4"/>
    </row>
    <row r="523" spans="1:5" ht="14.25" customHeight="1" x14ac:dyDescent="0.3">
      <c r="A523" s="4"/>
      <c r="B523" s="4"/>
      <c r="C523" s="4"/>
      <c r="D523" s="5"/>
      <c r="E523" s="4"/>
    </row>
    <row r="524" spans="1:5" ht="14.25" customHeight="1" x14ac:dyDescent="0.3">
      <c r="A524" s="4"/>
      <c r="B524" s="4"/>
      <c r="C524" s="4"/>
      <c r="D524" s="5"/>
      <c r="E524" s="4"/>
    </row>
    <row r="525" spans="1:5" ht="14.25" customHeight="1" x14ac:dyDescent="0.3">
      <c r="A525" s="4"/>
      <c r="B525" s="4"/>
      <c r="C525" s="4"/>
      <c r="D525" s="5"/>
      <c r="E525" s="4"/>
    </row>
    <row r="526" spans="1:5" ht="14.25" customHeight="1" x14ac:dyDescent="0.3">
      <c r="A526" s="4"/>
      <c r="B526" s="4"/>
      <c r="C526" s="4"/>
      <c r="D526" s="5"/>
      <c r="E526" s="4"/>
    </row>
    <row r="527" spans="1:5" ht="14.25" customHeight="1" x14ac:dyDescent="0.3">
      <c r="A527" s="4"/>
      <c r="B527" s="4"/>
      <c r="C527" s="4"/>
      <c r="D527" s="5"/>
      <c r="E527" s="4"/>
    </row>
    <row r="528" spans="1:5" ht="14.25" customHeight="1" x14ac:dyDescent="0.3">
      <c r="A528" s="4"/>
      <c r="B528" s="4"/>
      <c r="C528" s="4"/>
      <c r="D528" s="5"/>
      <c r="E528" s="4"/>
    </row>
    <row r="529" spans="1:5" ht="14.25" customHeight="1" x14ac:dyDescent="0.3">
      <c r="A529" s="4"/>
      <c r="B529" s="4"/>
      <c r="C529" s="4"/>
      <c r="D529" s="5"/>
      <c r="E529" s="4"/>
    </row>
    <row r="530" spans="1:5" ht="14.25" customHeight="1" x14ac:dyDescent="0.3">
      <c r="A530" s="4"/>
      <c r="B530" s="4"/>
      <c r="C530" s="4"/>
      <c r="D530" s="5"/>
      <c r="E530" s="4"/>
    </row>
    <row r="531" spans="1:5" ht="14.25" customHeight="1" x14ac:dyDescent="0.3">
      <c r="A531" s="4"/>
      <c r="B531" s="4"/>
      <c r="C531" s="4"/>
      <c r="D531" s="5"/>
      <c r="E531" s="4"/>
    </row>
    <row r="532" spans="1:5" ht="14.25" customHeight="1" x14ac:dyDescent="0.3">
      <c r="A532" s="4"/>
      <c r="B532" s="4"/>
      <c r="C532" s="4"/>
      <c r="D532" s="5"/>
      <c r="E532" s="4"/>
    </row>
    <row r="533" spans="1:5" ht="14.25" customHeight="1" x14ac:dyDescent="0.3">
      <c r="A533" s="4"/>
      <c r="B533" s="4"/>
      <c r="C533" s="4"/>
      <c r="D533" s="5"/>
      <c r="E533" s="4"/>
    </row>
    <row r="534" spans="1:5" ht="14.25" customHeight="1" x14ac:dyDescent="0.3">
      <c r="A534" s="4"/>
      <c r="B534" s="4"/>
      <c r="C534" s="4"/>
      <c r="D534" s="5"/>
      <c r="E534" s="4"/>
    </row>
    <row r="535" spans="1:5" ht="14.25" customHeight="1" x14ac:dyDescent="0.3">
      <c r="A535" s="4"/>
      <c r="B535" s="4"/>
      <c r="C535" s="4"/>
      <c r="D535" s="5"/>
      <c r="E535" s="4"/>
    </row>
    <row r="536" spans="1:5" ht="14.25" customHeight="1" x14ac:dyDescent="0.3">
      <c r="A536" s="4"/>
      <c r="B536" s="4"/>
      <c r="C536" s="4"/>
      <c r="D536" s="5"/>
      <c r="E536" s="4"/>
    </row>
    <row r="537" spans="1:5" ht="14.25" customHeight="1" x14ac:dyDescent="0.3">
      <c r="A537" s="4"/>
      <c r="B537" s="4"/>
      <c r="C537" s="4"/>
      <c r="D537" s="5"/>
      <c r="E537" s="4"/>
    </row>
    <row r="538" spans="1:5" ht="14.25" customHeight="1" x14ac:dyDescent="0.3">
      <c r="A538" s="4"/>
      <c r="B538" s="4"/>
      <c r="C538" s="4"/>
      <c r="D538" s="5"/>
      <c r="E538" s="4"/>
    </row>
    <row r="539" spans="1:5" ht="14.25" customHeight="1" x14ac:dyDescent="0.3">
      <c r="A539" s="4"/>
      <c r="B539" s="4"/>
      <c r="C539" s="4"/>
      <c r="D539" s="5"/>
      <c r="E539" s="4"/>
    </row>
    <row r="540" spans="1:5" ht="14.25" customHeight="1" x14ac:dyDescent="0.3">
      <c r="A540" s="4"/>
      <c r="B540" s="4"/>
      <c r="C540" s="4"/>
      <c r="D540" s="5"/>
      <c r="E540" s="4"/>
    </row>
    <row r="541" spans="1:5" ht="14.25" customHeight="1" x14ac:dyDescent="0.3">
      <c r="A541" s="4"/>
      <c r="B541" s="4"/>
      <c r="C541" s="4"/>
      <c r="D541" s="5"/>
      <c r="E541" s="4"/>
    </row>
    <row r="542" spans="1:5" ht="14.25" customHeight="1" x14ac:dyDescent="0.3">
      <c r="A542" s="4"/>
      <c r="B542" s="4"/>
      <c r="C542" s="4"/>
      <c r="D542" s="5"/>
      <c r="E542" s="4"/>
    </row>
    <row r="543" spans="1:5" ht="14.25" customHeight="1" x14ac:dyDescent="0.3">
      <c r="A543" s="4"/>
      <c r="B543" s="4"/>
      <c r="C543" s="4"/>
      <c r="D543" s="5"/>
      <c r="E543" s="4"/>
    </row>
    <row r="544" spans="1:5" ht="14.25" customHeight="1" x14ac:dyDescent="0.3">
      <c r="A544" s="4"/>
      <c r="B544" s="4"/>
      <c r="C544" s="4"/>
      <c r="D544" s="5"/>
      <c r="E544" s="4"/>
    </row>
    <row r="545" spans="1:5" ht="14.25" customHeight="1" x14ac:dyDescent="0.3">
      <c r="A545" s="4"/>
      <c r="B545" s="4"/>
      <c r="C545" s="4"/>
      <c r="D545" s="5"/>
      <c r="E545" s="4"/>
    </row>
    <row r="546" spans="1:5" ht="14.25" customHeight="1" x14ac:dyDescent="0.3">
      <c r="A546" s="4"/>
      <c r="B546" s="4"/>
      <c r="C546" s="4"/>
      <c r="D546" s="5"/>
      <c r="E546" s="4"/>
    </row>
    <row r="547" spans="1:5" ht="14.25" customHeight="1" x14ac:dyDescent="0.3">
      <c r="A547" s="4"/>
      <c r="B547" s="4"/>
      <c r="C547" s="4"/>
      <c r="D547" s="5"/>
      <c r="E547" s="4"/>
    </row>
    <row r="548" spans="1:5" ht="14.25" customHeight="1" x14ac:dyDescent="0.3">
      <c r="A548" s="4"/>
      <c r="B548" s="4"/>
      <c r="C548" s="4"/>
      <c r="D548" s="5"/>
      <c r="E548" s="4"/>
    </row>
    <row r="549" spans="1:5" ht="14.25" customHeight="1" x14ac:dyDescent="0.3">
      <c r="A549" s="4"/>
      <c r="B549" s="4"/>
      <c r="C549" s="4"/>
      <c r="D549" s="5"/>
      <c r="E549" s="4"/>
    </row>
    <row r="550" spans="1:5" ht="14.25" customHeight="1" x14ac:dyDescent="0.3">
      <c r="A550" s="4"/>
      <c r="B550" s="4"/>
      <c r="C550" s="4"/>
      <c r="D550" s="5"/>
      <c r="E550" s="4"/>
    </row>
    <row r="551" spans="1:5" ht="14.25" customHeight="1" x14ac:dyDescent="0.3">
      <c r="A551" s="4"/>
      <c r="B551" s="4"/>
      <c r="C551" s="4"/>
      <c r="D551" s="5"/>
      <c r="E551" s="4"/>
    </row>
    <row r="552" spans="1:5" ht="14.25" customHeight="1" x14ac:dyDescent="0.3">
      <c r="A552" s="4"/>
      <c r="B552" s="4"/>
      <c r="C552" s="4"/>
      <c r="D552" s="5"/>
      <c r="E552" s="4"/>
    </row>
    <row r="553" spans="1:5" ht="14.25" customHeight="1" x14ac:dyDescent="0.3">
      <c r="A553" s="4"/>
      <c r="B553" s="4"/>
      <c r="C553" s="4"/>
      <c r="D553" s="5"/>
      <c r="E553" s="4"/>
    </row>
    <row r="554" spans="1:5" ht="14.25" customHeight="1" x14ac:dyDescent="0.3">
      <c r="A554" s="4"/>
      <c r="B554" s="4"/>
      <c r="C554" s="4"/>
      <c r="D554" s="5"/>
      <c r="E554" s="4"/>
    </row>
    <row r="555" spans="1:5" ht="14.25" customHeight="1" x14ac:dyDescent="0.3">
      <c r="A555" s="4"/>
      <c r="B555" s="4"/>
      <c r="C555" s="4"/>
      <c r="D555" s="5"/>
      <c r="E555" s="4"/>
    </row>
    <row r="556" spans="1:5" ht="14.25" customHeight="1" x14ac:dyDescent="0.3">
      <c r="A556" s="4"/>
      <c r="B556" s="4"/>
      <c r="C556" s="4"/>
      <c r="D556" s="5"/>
      <c r="E556" s="4"/>
    </row>
    <row r="557" spans="1:5" ht="14.25" customHeight="1" x14ac:dyDescent="0.3">
      <c r="A557" s="4"/>
      <c r="B557" s="4"/>
      <c r="C557" s="4"/>
      <c r="D557" s="5"/>
      <c r="E557" s="4"/>
    </row>
    <row r="558" spans="1:5" ht="14.25" customHeight="1" x14ac:dyDescent="0.3">
      <c r="A558" s="4"/>
      <c r="B558" s="4"/>
      <c r="C558" s="4"/>
      <c r="D558" s="5"/>
      <c r="E558" s="4"/>
    </row>
    <row r="559" spans="1:5" ht="14.25" customHeight="1" x14ac:dyDescent="0.3">
      <c r="A559" s="4"/>
      <c r="B559" s="4"/>
      <c r="C559" s="4"/>
      <c r="D559" s="5"/>
      <c r="E559" s="4"/>
    </row>
    <row r="560" spans="1:5" ht="14.25" customHeight="1" x14ac:dyDescent="0.3">
      <c r="A560" s="4"/>
      <c r="B560" s="4"/>
      <c r="C560" s="4"/>
      <c r="D560" s="5"/>
      <c r="E560" s="4"/>
    </row>
    <row r="561" spans="1:5" ht="14.25" customHeight="1" x14ac:dyDescent="0.3">
      <c r="A561" s="4"/>
      <c r="B561" s="4"/>
      <c r="C561" s="4"/>
      <c r="D561" s="5"/>
      <c r="E561" s="4"/>
    </row>
    <row r="562" spans="1:5" ht="14.25" customHeight="1" x14ac:dyDescent="0.3">
      <c r="A562" s="4"/>
      <c r="B562" s="4"/>
      <c r="C562" s="4"/>
      <c r="D562" s="5"/>
      <c r="E562" s="4"/>
    </row>
    <row r="563" spans="1:5" ht="14.25" customHeight="1" x14ac:dyDescent="0.3">
      <c r="A563" s="4"/>
      <c r="B563" s="4"/>
      <c r="C563" s="4"/>
      <c r="D563" s="5"/>
      <c r="E563" s="4"/>
    </row>
    <row r="564" spans="1:5" ht="14.25" customHeight="1" x14ac:dyDescent="0.3">
      <c r="A564" s="4"/>
      <c r="B564" s="4"/>
      <c r="C564" s="4"/>
      <c r="D564" s="5"/>
      <c r="E564" s="4"/>
    </row>
    <row r="565" spans="1:5" ht="14.25" customHeight="1" x14ac:dyDescent="0.3">
      <c r="A565" s="4"/>
      <c r="B565" s="4"/>
      <c r="C565" s="4"/>
      <c r="D565" s="5"/>
      <c r="E565" s="4"/>
    </row>
    <row r="566" spans="1:5" ht="14.25" customHeight="1" x14ac:dyDescent="0.3">
      <c r="A566" s="4"/>
      <c r="B566" s="4"/>
      <c r="C566" s="4"/>
      <c r="D566" s="5"/>
      <c r="E566" s="4"/>
    </row>
    <row r="567" spans="1:5" ht="14.25" customHeight="1" x14ac:dyDescent="0.3">
      <c r="A567" s="4"/>
      <c r="B567" s="4"/>
      <c r="C567" s="4"/>
      <c r="D567" s="5"/>
      <c r="E567" s="4"/>
    </row>
    <row r="568" spans="1:5" ht="14.25" customHeight="1" x14ac:dyDescent="0.3">
      <c r="A568" s="4"/>
      <c r="B568" s="4"/>
      <c r="C568" s="4"/>
      <c r="D568" s="5"/>
      <c r="E568" s="4"/>
    </row>
    <row r="569" spans="1:5" ht="14.25" customHeight="1" x14ac:dyDescent="0.3">
      <c r="A569" s="4"/>
      <c r="B569" s="4"/>
      <c r="C569" s="4"/>
      <c r="D569" s="5"/>
      <c r="E569" s="4"/>
    </row>
    <row r="570" spans="1:5" ht="14.25" customHeight="1" x14ac:dyDescent="0.3">
      <c r="A570" s="4"/>
      <c r="B570" s="4"/>
      <c r="C570" s="4"/>
      <c r="D570" s="5"/>
      <c r="E570" s="4"/>
    </row>
    <row r="571" spans="1:5" ht="14.25" customHeight="1" x14ac:dyDescent="0.3">
      <c r="A571" s="4"/>
      <c r="B571" s="4"/>
      <c r="C571" s="4"/>
      <c r="D571" s="5"/>
      <c r="E571" s="4"/>
    </row>
    <row r="572" spans="1:5" ht="14.25" customHeight="1" x14ac:dyDescent="0.3">
      <c r="A572" s="4"/>
      <c r="B572" s="4"/>
      <c r="C572" s="4"/>
      <c r="D572" s="5"/>
      <c r="E572" s="4"/>
    </row>
    <row r="573" spans="1:5" ht="14.25" customHeight="1" x14ac:dyDescent="0.3">
      <c r="A573" s="4"/>
      <c r="B573" s="4"/>
      <c r="C573" s="4"/>
      <c r="D573" s="5"/>
      <c r="E573" s="4"/>
    </row>
    <row r="574" spans="1:5" ht="14.25" customHeight="1" x14ac:dyDescent="0.3">
      <c r="A574" s="4"/>
      <c r="B574" s="4"/>
      <c r="C574" s="4"/>
      <c r="D574" s="5"/>
      <c r="E574" s="4"/>
    </row>
    <row r="575" spans="1:5" ht="14.25" customHeight="1" x14ac:dyDescent="0.3">
      <c r="A575" s="4"/>
      <c r="B575" s="4"/>
      <c r="C575" s="4"/>
      <c r="D575" s="5"/>
      <c r="E575" s="4"/>
    </row>
    <row r="576" spans="1:5" ht="14.25" customHeight="1" x14ac:dyDescent="0.3">
      <c r="A576" s="4"/>
      <c r="B576" s="4"/>
      <c r="C576" s="4"/>
      <c r="D576" s="5"/>
      <c r="E576" s="4"/>
    </row>
    <row r="577" spans="1:5" ht="14.25" customHeight="1" x14ac:dyDescent="0.3">
      <c r="A577" s="4"/>
      <c r="B577" s="4"/>
      <c r="C577" s="4"/>
      <c r="D577" s="5"/>
      <c r="E577" s="4"/>
    </row>
    <row r="578" spans="1:5" ht="14.25" customHeight="1" x14ac:dyDescent="0.3">
      <c r="A578" s="4"/>
      <c r="B578" s="4"/>
      <c r="C578" s="4"/>
      <c r="D578" s="5"/>
      <c r="E578" s="4"/>
    </row>
    <row r="579" spans="1:5" ht="14.25" customHeight="1" x14ac:dyDescent="0.3">
      <c r="A579" s="4"/>
      <c r="B579" s="4"/>
      <c r="C579" s="4"/>
      <c r="D579" s="5"/>
      <c r="E579" s="4"/>
    </row>
    <row r="580" spans="1:5" ht="14.25" customHeight="1" x14ac:dyDescent="0.3">
      <c r="A580" s="4"/>
      <c r="B580" s="4"/>
      <c r="C580" s="4"/>
      <c r="D580" s="5"/>
      <c r="E580" s="4"/>
    </row>
    <row r="581" spans="1:5" ht="14.25" customHeight="1" x14ac:dyDescent="0.3">
      <c r="A581" s="4"/>
      <c r="B581" s="4"/>
      <c r="C581" s="4"/>
      <c r="D581" s="5"/>
      <c r="E581" s="4"/>
    </row>
    <row r="582" spans="1:5" ht="14.25" customHeight="1" x14ac:dyDescent="0.3">
      <c r="A582" s="4"/>
      <c r="B582" s="4"/>
      <c r="C582" s="4"/>
      <c r="D582" s="5"/>
      <c r="E582" s="4"/>
    </row>
    <row r="583" spans="1:5" ht="14.25" customHeight="1" x14ac:dyDescent="0.3">
      <c r="A583" s="4"/>
      <c r="B583" s="4"/>
      <c r="C583" s="4"/>
      <c r="D583" s="5"/>
      <c r="E583" s="4"/>
    </row>
    <row r="584" spans="1:5" ht="14.25" customHeight="1" x14ac:dyDescent="0.3">
      <c r="A584" s="4"/>
      <c r="B584" s="4"/>
      <c r="C584" s="4"/>
      <c r="D584" s="5"/>
      <c r="E584" s="4"/>
    </row>
    <row r="585" spans="1:5" ht="14.25" customHeight="1" x14ac:dyDescent="0.3">
      <c r="A585" s="4"/>
      <c r="B585" s="4"/>
      <c r="C585" s="4"/>
      <c r="D585" s="5"/>
      <c r="E585" s="4"/>
    </row>
    <row r="586" spans="1:5" ht="14.25" customHeight="1" x14ac:dyDescent="0.3">
      <c r="A586" s="4"/>
      <c r="B586" s="4"/>
      <c r="C586" s="4"/>
      <c r="D586" s="5"/>
      <c r="E586" s="4"/>
    </row>
    <row r="587" spans="1:5" ht="14.25" customHeight="1" x14ac:dyDescent="0.3">
      <c r="A587" s="4"/>
      <c r="B587" s="4"/>
      <c r="C587" s="4"/>
      <c r="D587" s="5"/>
      <c r="E587" s="4"/>
    </row>
    <row r="588" spans="1:5" ht="14.25" customHeight="1" x14ac:dyDescent="0.3">
      <c r="A588" s="4"/>
      <c r="B588" s="4"/>
      <c r="C588" s="4"/>
      <c r="D588" s="5"/>
      <c r="E588" s="4"/>
    </row>
    <row r="589" spans="1:5" ht="14.25" customHeight="1" x14ac:dyDescent="0.3">
      <c r="A589" s="4"/>
      <c r="B589" s="4"/>
      <c r="C589" s="4"/>
      <c r="D589" s="5"/>
      <c r="E589" s="4"/>
    </row>
    <row r="590" spans="1:5" ht="14.25" customHeight="1" x14ac:dyDescent="0.3">
      <c r="A590" s="4"/>
      <c r="B590" s="4"/>
      <c r="C590" s="4"/>
      <c r="D590" s="5"/>
      <c r="E590" s="4"/>
    </row>
    <row r="591" spans="1:5" ht="14.25" customHeight="1" x14ac:dyDescent="0.3">
      <c r="A591" s="4"/>
      <c r="B591" s="4"/>
      <c r="C591" s="4"/>
      <c r="D591" s="5"/>
      <c r="E591" s="4"/>
    </row>
    <row r="592" spans="1:5" ht="14.25" customHeight="1" x14ac:dyDescent="0.3">
      <c r="A592" s="4"/>
      <c r="B592" s="4"/>
      <c r="C592" s="4"/>
      <c r="D592" s="5"/>
      <c r="E592" s="4"/>
    </row>
    <row r="593" spans="1:5" ht="14.25" customHeight="1" x14ac:dyDescent="0.3">
      <c r="A593" s="4"/>
      <c r="B593" s="4"/>
      <c r="C593" s="4"/>
      <c r="D593" s="5"/>
      <c r="E593" s="4"/>
    </row>
    <row r="594" spans="1:5" ht="14.25" customHeight="1" x14ac:dyDescent="0.3">
      <c r="A594" s="4"/>
      <c r="B594" s="4"/>
      <c r="C594" s="4"/>
      <c r="D594" s="5"/>
      <c r="E594" s="4"/>
    </row>
    <row r="595" spans="1:5" ht="14.25" customHeight="1" x14ac:dyDescent="0.3">
      <c r="A595" s="4"/>
      <c r="B595" s="4"/>
      <c r="C595" s="4"/>
      <c r="D595" s="5"/>
      <c r="E595" s="4"/>
    </row>
    <row r="596" spans="1:5" ht="14.25" customHeight="1" x14ac:dyDescent="0.3">
      <c r="A596" s="4"/>
      <c r="B596" s="4"/>
      <c r="C596" s="4"/>
      <c r="D596" s="5"/>
      <c r="E596" s="4"/>
    </row>
    <row r="597" spans="1:5" ht="14.25" customHeight="1" x14ac:dyDescent="0.3">
      <c r="A597" s="4"/>
      <c r="B597" s="4"/>
      <c r="C597" s="4"/>
      <c r="D597" s="5"/>
      <c r="E597" s="4"/>
    </row>
    <row r="598" spans="1:5" ht="14.25" customHeight="1" x14ac:dyDescent="0.3">
      <c r="A598" s="4"/>
      <c r="B598" s="4"/>
      <c r="C598" s="4"/>
      <c r="D598" s="5"/>
      <c r="E598" s="4"/>
    </row>
    <row r="599" spans="1:5" ht="14.25" customHeight="1" x14ac:dyDescent="0.3">
      <c r="A599" s="4"/>
      <c r="B599" s="4"/>
      <c r="C599" s="4"/>
      <c r="D599" s="5"/>
      <c r="E599" s="4"/>
    </row>
    <row r="600" spans="1:5" ht="14.25" customHeight="1" x14ac:dyDescent="0.3">
      <c r="A600" s="4"/>
      <c r="B600" s="4"/>
      <c r="C600" s="4"/>
      <c r="D600" s="5"/>
      <c r="E600" s="4"/>
    </row>
    <row r="601" spans="1:5" ht="14.25" customHeight="1" x14ac:dyDescent="0.3">
      <c r="A601" s="4"/>
      <c r="B601" s="4"/>
      <c r="C601" s="4"/>
      <c r="D601" s="5"/>
      <c r="E601" s="4"/>
    </row>
    <row r="602" spans="1:5" ht="14.25" customHeight="1" x14ac:dyDescent="0.3">
      <c r="A602" s="4"/>
      <c r="B602" s="4"/>
      <c r="C602" s="4"/>
      <c r="D602" s="5"/>
      <c r="E602" s="4"/>
    </row>
    <row r="603" spans="1:5" ht="14.25" customHeight="1" x14ac:dyDescent="0.3">
      <c r="A603" s="4"/>
      <c r="B603" s="4"/>
      <c r="C603" s="4"/>
      <c r="D603" s="5"/>
      <c r="E603" s="4"/>
    </row>
    <row r="604" spans="1:5" ht="14.25" customHeight="1" x14ac:dyDescent="0.3">
      <c r="A604" s="4"/>
      <c r="B604" s="4"/>
      <c r="C604" s="4"/>
      <c r="D604" s="5"/>
      <c r="E604" s="4"/>
    </row>
    <row r="605" spans="1:5" ht="14.25" customHeight="1" x14ac:dyDescent="0.3">
      <c r="A605" s="4"/>
      <c r="B605" s="4"/>
      <c r="C605" s="4"/>
      <c r="D605" s="5"/>
      <c r="E605" s="4"/>
    </row>
    <row r="606" spans="1:5" ht="14.25" customHeight="1" x14ac:dyDescent="0.3">
      <c r="A606" s="4"/>
      <c r="B606" s="4"/>
      <c r="C606" s="4"/>
      <c r="D606" s="5"/>
      <c r="E606" s="4"/>
    </row>
    <row r="607" spans="1:5" ht="14.25" customHeight="1" x14ac:dyDescent="0.3">
      <c r="A607" s="4"/>
      <c r="B607" s="4"/>
      <c r="C607" s="4"/>
      <c r="D607" s="5"/>
      <c r="E607" s="4"/>
    </row>
    <row r="608" spans="1:5" ht="14.25" customHeight="1" x14ac:dyDescent="0.3">
      <c r="A608" s="4"/>
      <c r="B608" s="4"/>
      <c r="C608" s="4"/>
      <c r="D608" s="5"/>
      <c r="E608" s="4"/>
    </row>
    <row r="609" spans="1:5" ht="14.25" customHeight="1" x14ac:dyDescent="0.3">
      <c r="A609" s="4"/>
      <c r="B609" s="4"/>
      <c r="C609" s="4"/>
      <c r="D609" s="5"/>
      <c r="E609" s="4"/>
    </row>
    <row r="610" spans="1:5" ht="14.25" customHeight="1" x14ac:dyDescent="0.3">
      <c r="A610" s="4"/>
      <c r="B610" s="4"/>
      <c r="C610" s="4"/>
      <c r="D610" s="5"/>
      <c r="E610" s="4"/>
    </row>
    <row r="611" spans="1:5" ht="14.25" customHeight="1" x14ac:dyDescent="0.3">
      <c r="A611" s="4"/>
      <c r="B611" s="4"/>
      <c r="C611" s="4"/>
      <c r="D611" s="5"/>
      <c r="E611" s="4"/>
    </row>
    <row r="612" spans="1:5" ht="14.25" customHeight="1" x14ac:dyDescent="0.3">
      <c r="A612" s="4"/>
      <c r="B612" s="4"/>
      <c r="C612" s="4"/>
      <c r="D612" s="5"/>
      <c r="E612" s="4"/>
    </row>
    <row r="613" spans="1:5" ht="14.25" customHeight="1" x14ac:dyDescent="0.3">
      <c r="A613" s="4"/>
      <c r="B613" s="4"/>
      <c r="C613" s="4"/>
      <c r="D613" s="5"/>
      <c r="E613" s="4"/>
    </row>
    <row r="614" spans="1:5" ht="14.25" customHeight="1" x14ac:dyDescent="0.3">
      <c r="A614" s="4"/>
      <c r="B614" s="4"/>
      <c r="C614" s="4"/>
      <c r="D614" s="5"/>
      <c r="E614" s="4"/>
    </row>
    <row r="615" spans="1:5" ht="14.25" customHeight="1" x14ac:dyDescent="0.3">
      <c r="A615" s="4"/>
      <c r="B615" s="4"/>
      <c r="C615" s="4"/>
      <c r="D615" s="5"/>
      <c r="E615" s="4"/>
    </row>
    <row r="616" spans="1:5" ht="14.25" customHeight="1" x14ac:dyDescent="0.3">
      <c r="A616" s="4"/>
      <c r="B616" s="4"/>
      <c r="C616" s="4"/>
      <c r="D616" s="5"/>
      <c r="E616" s="4"/>
    </row>
    <row r="617" spans="1:5" ht="14.25" customHeight="1" x14ac:dyDescent="0.3">
      <c r="A617" s="4"/>
      <c r="B617" s="4"/>
      <c r="C617" s="4"/>
      <c r="D617" s="5"/>
      <c r="E617" s="4"/>
    </row>
    <row r="618" spans="1:5" ht="14.25" customHeight="1" x14ac:dyDescent="0.3">
      <c r="A618" s="4"/>
      <c r="B618" s="4"/>
      <c r="C618" s="4"/>
      <c r="D618" s="5"/>
      <c r="E618" s="4"/>
    </row>
    <row r="619" spans="1:5" ht="14.25" customHeight="1" x14ac:dyDescent="0.3">
      <c r="A619" s="4"/>
      <c r="B619" s="4"/>
      <c r="C619" s="4"/>
      <c r="D619" s="5"/>
      <c r="E619" s="4"/>
    </row>
    <row r="620" spans="1:5" ht="14.25" customHeight="1" x14ac:dyDescent="0.3">
      <c r="A620" s="4"/>
      <c r="B620" s="4"/>
      <c r="C620" s="4"/>
      <c r="D620" s="5"/>
      <c r="E620" s="4"/>
    </row>
    <row r="621" spans="1:5" ht="14.25" customHeight="1" x14ac:dyDescent="0.3">
      <c r="A621" s="4"/>
      <c r="B621" s="4"/>
      <c r="C621" s="4"/>
      <c r="D621" s="5"/>
      <c r="E621" s="4"/>
    </row>
    <row r="622" spans="1:5" ht="14.25" customHeight="1" x14ac:dyDescent="0.3">
      <c r="A622" s="4"/>
      <c r="B622" s="4"/>
      <c r="C622" s="4"/>
      <c r="D622" s="5"/>
      <c r="E622" s="4"/>
    </row>
    <row r="623" spans="1:5" ht="14.25" customHeight="1" x14ac:dyDescent="0.3">
      <c r="A623" s="4"/>
      <c r="B623" s="4"/>
      <c r="C623" s="4"/>
      <c r="D623" s="5"/>
      <c r="E623" s="4"/>
    </row>
    <row r="624" spans="1:5" ht="14.25" customHeight="1" x14ac:dyDescent="0.3">
      <c r="A624" s="4"/>
      <c r="B624" s="4"/>
      <c r="C624" s="4"/>
      <c r="D624" s="5"/>
      <c r="E624" s="4"/>
    </row>
    <row r="625" spans="1:5" ht="14.25" customHeight="1" x14ac:dyDescent="0.3">
      <c r="A625" s="4"/>
      <c r="B625" s="4"/>
      <c r="C625" s="4"/>
      <c r="D625" s="5"/>
      <c r="E625" s="4"/>
    </row>
    <row r="626" spans="1:5" ht="14.25" customHeight="1" x14ac:dyDescent="0.3">
      <c r="A626" s="4"/>
      <c r="B626" s="4"/>
      <c r="C626" s="4"/>
      <c r="D626" s="5"/>
      <c r="E626" s="4"/>
    </row>
    <row r="627" spans="1:5" ht="14.25" customHeight="1" x14ac:dyDescent="0.3">
      <c r="A627" s="4"/>
      <c r="B627" s="4"/>
      <c r="C627" s="4"/>
      <c r="D627" s="5"/>
      <c r="E627" s="4"/>
    </row>
    <row r="628" spans="1:5" ht="14.25" customHeight="1" x14ac:dyDescent="0.3">
      <c r="A628" s="4"/>
      <c r="B628" s="4"/>
      <c r="C628" s="4"/>
      <c r="D628" s="5"/>
      <c r="E628" s="4"/>
    </row>
    <row r="629" spans="1:5" ht="14.25" customHeight="1" x14ac:dyDescent="0.3">
      <c r="A629" s="4"/>
      <c r="B629" s="4"/>
      <c r="C629" s="4"/>
      <c r="D629" s="5"/>
      <c r="E629" s="4"/>
    </row>
    <row r="630" spans="1:5" ht="14.25" customHeight="1" x14ac:dyDescent="0.3">
      <c r="A630" s="4"/>
      <c r="B630" s="4"/>
      <c r="C630" s="4"/>
      <c r="D630" s="5"/>
      <c r="E630" s="4"/>
    </row>
    <row r="631" spans="1:5" ht="14.25" customHeight="1" x14ac:dyDescent="0.3">
      <c r="A631" s="4"/>
      <c r="B631" s="4"/>
      <c r="C631" s="4"/>
      <c r="D631" s="5"/>
      <c r="E631" s="4"/>
    </row>
    <row r="632" spans="1:5" ht="14.25" customHeight="1" x14ac:dyDescent="0.3">
      <c r="A632" s="4"/>
      <c r="B632" s="4"/>
      <c r="C632" s="4"/>
      <c r="D632" s="5"/>
      <c r="E632" s="4"/>
    </row>
    <row r="633" spans="1:5" ht="14.25" customHeight="1" x14ac:dyDescent="0.3">
      <c r="A633" s="4"/>
      <c r="B633" s="4"/>
      <c r="C633" s="4"/>
      <c r="D633" s="5"/>
      <c r="E633" s="4"/>
    </row>
    <row r="634" spans="1:5" ht="14.25" customHeight="1" x14ac:dyDescent="0.3">
      <c r="A634" s="4"/>
      <c r="B634" s="4"/>
      <c r="C634" s="4"/>
      <c r="D634" s="5"/>
      <c r="E634" s="4"/>
    </row>
    <row r="635" spans="1:5" ht="14.25" customHeight="1" x14ac:dyDescent="0.3">
      <c r="A635" s="4"/>
      <c r="B635" s="4"/>
      <c r="C635" s="4"/>
      <c r="D635" s="5"/>
      <c r="E635" s="4"/>
    </row>
    <row r="636" spans="1:5" ht="14.25" customHeight="1" x14ac:dyDescent="0.3">
      <c r="A636" s="4"/>
      <c r="B636" s="4"/>
      <c r="C636" s="4"/>
      <c r="D636" s="5"/>
      <c r="E636" s="4"/>
    </row>
    <row r="637" spans="1:5" ht="14.25" customHeight="1" x14ac:dyDescent="0.3">
      <c r="A637" s="4"/>
      <c r="B637" s="4"/>
      <c r="C637" s="4"/>
      <c r="D637" s="5"/>
      <c r="E637" s="4"/>
    </row>
    <row r="638" spans="1:5" ht="14.25" customHeight="1" x14ac:dyDescent="0.3">
      <c r="A638" s="4"/>
      <c r="B638" s="4"/>
      <c r="C638" s="4"/>
      <c r="D638" s="5"/>
      <c r="E638" s="4"/>
    </row>
    <row r="639" spans="1:5" ht="14.25" customHeight="1" x14ac:dyDescent="0.3">
      <c r="A639" s="4"/>
      <c r="B639" s="4"/>
      <c r="C639" s="4"/>
      <c r="D639" s="5"/>
      <c r="E639" s="4"/>
    </row>
    <row r="640" spans="1:5" ht="14.25" customHeight="1" x14ac:dyDescent="0.3">
      <c r="A640" s="4"/>
      <c r="B640" s="4"/>
      <c r="C640" s="4"/>
      <c r="D640" s="5"/>
      <c r="E640" s="4"/>
    </row>
    <row r="641" spans="1:5" ht="14.25" customHeight="1" x14ac:dyDescent="0.3">
      <c r="A641" s="4"/>
      <c r="B641" s="4"/>
      <c r="C641" s="4"/>
      <c r="D641" s="5"/>
      <c r="E641" s="4"/>
    </row>
    <row r="642" spans="1:5" ht="14.25" customHeight="1" x14ac:dyDescent="0.3">
      <c r="A642" s="4"/>
      <c r="B642" s="4"/>
      <c r="C642" s="4"/>
      <c r="D642" s="5"/>
      <c r="E642" s="4"/>
    </row>
    <row r="643" spans="1:5" ht="14.25" customHeight="1" x14ac:dyDescent="0.3">
      <c r="A643" s="4"/>
      <c r="B643" s="4"/>
      <c r="C643" s="4"/>
      <c r="D643" s="5"/>
      <c r="E643" s="4"/>
    </row>
    <row r="644" spans="1:5" ht="14.25" customHeight="1" x14ac:dyDescent="0.3">
      <c r="A644" s="4"/>
      <c r="B644" s="4"/>
      <c r="C644" s="4"/>
      <c r="D644" s="5"/>
      <c r="E644" s="4"/>
    </row>
    <row r="645" spans="1:5" ht="14.25" customHeight="1" x14ac:dyDescent="0.3">
      <c r="A645" s="4"/>
      <c r="B645" s="4"/>
      <c r="C645" s="4"/>
      <c r="D645" s="5"/>
      <c r="E645" s="4"/>
    </row>
    <row r="646" spans="1:5" ht="14.25" customHeight="1" x14ac:dyDescent="0.3">
      <c r="A646" s="4"/>
      <c r="B646" s="4"/>
      <c r="C646" s="4"/>
      <c r="D646" s="5"/>
      <c r="E646" s="4"/>
    </row>
    <row r="647" spans="1:5" ht="14.25" customHeight="1" x14ac:dyDescent="0.3">
      <c r="A647" s="4"/>
      <c r="B647" s="4"/>
      <c r="C647" s="4"/>
      <c r="D647" s="5"/>
      <c r="E647" s="4"/>
    </row>
    <row r="648" spans="1:5" ht="14.25" customHeight="1" x14ac:dyDescent="0.3">
      <c r="A648" s="4"/>
      <c r="B648" s="4"/>
      <c r="C648" s="4"/>
      <c r="D648" s="5"/>
      <c r="E648" s="4"/>
    </row>
    <row r="649" spans="1:5" ht="14.25" customHeight="1" x14ac:dyDescent="0.3">
      <c r="A649" s="4"/>
      <c r="B649" s="4"/>
      <c r="C649" s="4"/>
      <c r="D649" s="5"/>
      <c r="E649" s="4"/>
    </row>
    <row r="650" spans="1:5" ht="14.25" customHeight="1" x14ac:dyDescent="0.3">
      <c r="A650" s="4"/>
      <c r="B650" s="4"/>
      <c r="C650" s="4"/>
      <c r="D650" s="5"/>
      <c r="E650" s="4"/>
    </row>
    <row r="651" spans="1:5" ht="14.25" customHeight="1" x14ac:dyDescent="0.3">
      <c r="A651" s="4"/>
      <c r="B651" s="4"/>
      <c r="C651" s="4"/>
      <c r="D651" s="5"/>
      <c r="E651" s="4"/>
    </row>
    <row r="652" spans="1:5" ht="14.25" customHeight="1" x14ac:dyDescent="0.3">
      <c r="A652" s="4"/>
      <c r="B652" s="4"/>
      <c r="C652" s="4"/>
      <c r="D652" s="5"/>
      <c r="E652" s="4"/>
    </row>
    <row r="653" spans="1:5" ht="14.25" customHeight="1" x14ac:dyDescent="0.3">
      <c r="A653" s="4"/>
      <c r="B653" s="4"/>
      <c r="C653" s="4"/>
      <c r="D653" s="5"/>
      <c r="E653" s="4"/>
    </row>
    <row r="654" spans="1:5" ht="14.25" customHeight="1" x14ac:dyDescent="0.3">
      <c r="A654" s="4"/>
      <c r="B654" s="4"/>
      <c r="C654" s="4"/>
      <c r="D654" s="5"/>
      <c r="E654" s="4"/>
    </row>
    <row r="655" spans="1:5" ht="14.25" customHeight="1" x14ac:dyDescent="0.3">
      <c r="A655" s="4"/>
      <c r="B655" s="4"/>
      <c r="C655" s="4"/>
      <c r="D655" s="5"/>
      <c r="E655" s="4"/>
    </row>
    <row r="656" spans="1:5" ht="14.25" customHeight="1" x14ac:dyDescent="0.3">
      <c r="A656" s="4"/>
      <c r="B656" s="4"/>
      <c r="C656" s="4"/>
      <c r="D656" s="5"/>
      <c r="E656" s="4"/>
    </row>
    <row r="657" spans="1:5" ht="14.25" customHeight="1" x14ac:dyDescent="0.3">
      <c r="A657" s="4"/>
      <c r="B657" s="4"/>
      <c r="C657" s="4"/>
      <c r="D657" s="5"/>
      <c r="E657" s="4"/>
    </row>
    <row r="658" spans="1:5" ht="14.25" customHeight="1" x14ac:dyDescent="0.3">
      <c r="A658" s="4"/>
      <c r="B658" s="4"/>
      <c r="C658" s="4"/>
      <c r="D658" s="5"/>
      <c r="E658" s="4"/>
    </row>
    <row r="659" spans="1:5" ht="14.25" customHeight="1" x14ac:dyDescent="0.3">
      <c r="A659" s="4"/>
      <c r="B659" s="4"/>
      <c r="C659" s="4"/>
      <c r="D659" s="5"/>
      <c r="E659" s="4"/>
    </row>
    <row r="660" spans="1:5" ht="14.25" customHeight="1" x14ac:dyDescent="0.3">
      <c r="A660" s="4"/>
      <c r="B660" s="4"/>
      <c r="C660" s="4"/>
      <c r="D660" s="5"/>
      <c r="E660" s="4"/>
    </row>
    <row r="661" spans="1:5" ht="14.25" customHeight="1" x14ac:dyDescent="0.3">
      <c r="A661" s="4"/>
      <c r="B661" s="4"/>
      <c r="C661" s="4"/>
      <c r="D661" s="5"/>
      <c r="E661" s="4"/>
    </row>
    <row r="662" spans="1:5" ht="14.25" customHeight="1" x14ac:dyDescent="0.3">
      <c r="A662" s="4"/>
      <c r="B662" s="4"/>
      <c r="C662" s="4"/>
      <c r="D662" s="5"/>
      <c r="E662" s="4"/>
    </row>
    <row r="663" spans="1:5" ht="14.25" customHeight="1" x14ac:dyDescent="0.3">
      <c r="A663" s="4"/>
      <c r="B663" s="4"/>
      <c r="C663" s="4"/>
      <c r="D663" s="5"/>
      <c r="E663" s="4"/>
    </row>
    <row r="664" spans="1:5" ht="14.25" customHeight="1" x14ac:dyDescent="0.3">
      <c r="A664" s="4"/>
      <c r="B664" s="4"/>
      <c r="C664" s="4"/>
      <c r="D664" s="5"/>
      <c r="E664" s="4"/>
    </row>
    <row r="665" spans="1:5" ht="14.25" customHeight="1" x14ac:dyDescent="0.3">
      <c r="A665" s="4"/>
      <c r="B665" s="4"/>
      <c r="C665" s="4"/>
      <c r="D665" s="5"/>
      <c r="E665" s="4"/>
    </row>
    <row r="666" spans="1:5" ht="14.25" customHeight="1" x14ac:dyDescent="0.3">
      <c r="A666" s="4"/>
      <c r="B666" s="4"/>
      <c r="C666" s="4"/>
      <c r="D666" s="5"/>
      <c r="E666" s="4"/>
    </row>
    <row r="667" spans="1:5" ht="14.25" customHeight="1" x14ac:dyDescent="0.3">
      <c r="A667" s="4"/>
      <c r="B667" s="4"/>
      <c r="C667" s="4"/>
      <c r="D667" s="5"/>
      <c r="E667" s="4"/>
    </row>
    <row r="668" spans="1:5" ht="14.25" customHeight="1" x14ac:dyDescent="0.3">
      <c r="A668" s="4"/>
      <c r="B668" s="4"/>
      <c r="C668" s="4"/>
      <c r="D668" s="5"/>
      <c r="E668" s="4"/>
    </row>
    <row r="669" spans="1:5" ht="14.25" customHeight="1" x14ac:dyDescent="0.3">
      <c r="A669" s="4"/>
      <c r="B669" s="4"/>
      <c r="C669" s="4"/>
      <c r="D669" s="5"/>
      <c r="E669" s="4"/>
    </row>
    <row r="670" spans="1:5" ht="14.25" customHeight="1" x14ac:dyDescent="0.3">
      <c r="A670" s="4"/>
      <c r="B670" s="4"/>
      <c r="C670" s="4"/>
      <c r="D670" s="5"/>
      <c r="E670" s="4"/>
    </row>
    <row r="671" spans="1:5" ht="14.25" customHeight="1" x14ac:dyDescent="0.3">
      <c r="A671" s="4"/>
      <c r="B671" s="4"/>
      <c r="C671" s="4"/>
      <c r="D671" s="5"/>
      <c r="E671" s="4"/>
    </row>
    <row r="672" spans="1:5" ht="14.25" customHeight="1" x14ac:dyDescent="0.3">
      <c r="A672" s="4"/>
      <c r="B672" s="4"/>
      <c r="C672" s="4"/>
      <c r="D672" s="5"/>
      <c r="E672" s="4"/>
    </row>
    <row r="673" spans="1:5" ht="14.25" customHeight="1" x14ac:dyDescent="0.3">
      <c r="A673" s="4"/>
      <c r="B673" s="4"/>
      <c r="C673" s="4"/>
      <c r="D673" s="5"/>
      <c r="E673" s="4"/>
    </row>
    <row r="674" spans="1:5" ht="14.25" customHeight="1" x14ac:dyDescent="0.3">
      <c r="A674" s="4"/>
      <c r="B674" s="4"/>
      <c r="C674" s="4"/>
      <c r="D674" s="5"/>
      <c r="E674" s="4"/>
    </row>
    <row r="675" spans="1:5" ht="14.25" customHeight="1" x14ac:dyDescent="0.3">
      <c r="A675" s="4"/>
      <c r="B675" s="4"/>
      <c r="C675" s="4"/>
      <c r="D675" s="5"/>
      <c r="E675" s="4"/>
    </row>
    <row r="676" spans="1:5" ht="14.25" customHeight="1" x14ac:dyDescent="0.3">
      <c r="A676" s="4"/>
      <c r="B676" s="4"/>
      <c r="C676" s="4"/>
      <c r="D676" s="5"/>
      <c r="E676" s="4"/>
    </row>
    <row r="677" spans="1:5" ht="14.25" customHeight="1" x14ac:dyDescent="0.3">
      <c r="A677" s="4"/>
      <c r="B677" s="4"/>
      <c r="C677" s="4"/>
      <c r="D677" s="5"/>
      <c r="E677" s="4"/>
    </row>
    <row r="678" spans="1:5" ht="14.25" customHeight="1" x14ac:dyDescent="0.3">
      <c r="A678" s="4"/>
      <c r="B678" s="4"/>
      <c r="C678" s="4"/>
      <c r="D678" s="5"/>
      <c r="E678" s="4"/>
    </row>
    <row r="679" spans="1:5" ht="14.25" customHeight="1" x14ac:dyDescent="0.3">
      <c r="A679" s="4"/>
      <c r="B679" s="4"/>
      <c r="C679" s="4"/>
      <c r="D679" s="5"/>
      <c r="E679" s="4"/>
    </row>
    <row r="680" spans="1:5" ht="14.25" customHeight="1" x14ac:dyDescent="0.3">
      <c r="A680" s="4"/>
      <c r="B680" s="4"/>
      <c r="C680" s="4"/>
      <c r="D680" s="5"/>
      <c r="E680" s="4"/>
    </row>
    <row r="681" spans="1:5" ht="14.25" customHeight="1" x14ac:dyDescent="0.3">
      <c r="A681" s="4"/>
      <c r="B681" s="4"/>
      <c r="C681" s="4"/>
      <c r="D681" s="5"/>
      <c r="E681" s="4"/>
    </row>
    <row r="682" spans="1:5" ht="14.25" customHeight="1" x14ac:dyDescent="0.3">
      <c r="A682" s="4"/>
      <c r="B682" s="4"/>
      <c r="C682" s="4"/>
      <c r="D682" s="5"/>
      <c r="E682" s="4"/>
    </row>
    <row r="683" spans="1:5" ht="14.25" customHeight="1" x14ac:dyDescent="0.3">
      <c r="A683" s="4"/>
      <c r="B683" s="4"/>
      <c r="C683" s="4"/>
      <c r="D683" s="5"/>
      <c r="E683" s="4"/>
    </row>
    <row r="684" spans="1:5" ht="14.25" customHeight="1" x14ac:dyDescent="0.3">
      <c r="A684" s="4"/>
      <c r="B684" s="4"/>
      <c r="C684" s="4"/>
      <c r="D684" s="5"/>
      <c r="E684" s="4"/>
    </row>
    <row r="685" spans="1:5" ht="14.25" customHeight="1" x14ac:dyDescent="0.3">
      <c r="A685" s="4"/>
      <c r="B685" s="4"/>
      <c r="C685" s="4"/>
      <c r="D685" s="5"/>
      <c r="E685" s="4"/>
    </row>
    <row r="686" spans="1:5" ht="14.25" customHeight="1" x14ac:dyDescent="0.3">
      <c r="A686" s="4"/>
      <c r="B686" s="4"/>
      <c r="C686" s="4"/>
      <c r="D686" s="5"/>
      <c r="E686" s="4"/>
    </row>
    <row r="687" spans="1:5" ht="14.25" customHeight="1" x14ac:dyDescent="0.3">
      <c r="A687" s="4"/>
      <c r="B687" s="4"/>
      <c r="C687" s="4"/>
      <c r="D687" s="5"/>
      <c r="E687" s="4"/>
    </row>
    <row r="688" spans="1:5" ht="14.25" customHeight="1" x14ac:dyDescent="0.3">
      <c r="A688" s="4"/>
      <c r="B688" s="4"/>
      <c r="C688" s="4"/>
      <c r="D688" s="5"/>
      <c r="E688" s="4"/>
    </row>
    <row r="689" spans="1:5" ht="14.25" customHeight="1" x14ac:dyDescent="0.3">
      <c r="A689" s="4"/>
      <c r="B689" s="4"/>
      <c r="C689" s="4"/>
      <c r="D689" s="5"/>
      <c r="E689" s="4"/>
    </row>
    <row r="690" spans="1:5" ht="14.25" customHeight="1" x14ac:dyDescent="0.3">
      <c r="A690" s="4"/>
      <c r="B690" s="4"/>
      <c r="C690" s="4"/>
      <c r="D690" s="5"/>
      <c r="E690" s="4"/>
    </row>
    <row r="691" spans="1:5" ht="14.25" customHeight="1" x14ac:dyDescent="0.3">
      <c r="A691" s="4"/>
      <c r="B691" s="4"/>
      <c r="C691" s="4"/>
      <c r="D691" s="5"/>
      <c r="E691" s="4"/>
    </row>
    <row r="692" spans="1:5" ht="14.25" customHeight="1" x14ac:dyDescent="0.3">
      <c r="A692" s="4"/>
      <c r="B692" s="4"/>
      <c r="C692" s="4"/>
      <c r="D692" s="5"/>
      <c r="E692" s="4"/>
    </row>
    <row r="693" spans="1:5" ht="14.25" customHeight="1" x14ac:dyDescent="0.3">
      <c r="A693" s="4"/>
      <c r="B693" s="4"/>
      <c r="C693" s="4"/>
      <c r="D693" s="5"/>
      <c r="E693" s="4"/>
    </row>
    <row r="694" spans="1:5" ht="14.25" customHeight="1" x14ac:dyDescent="0.3">
      <c r="A694" s="4"/>
      <c r="B694" s="4"/>
      <c r="C694" s="4"/>
      <c r="D694" s="5"/>
      <c r="E694" s="4"/>
    </row>
    <row r="695" spans="1:5" ht="14.25" customHeight="1" x14ac:dyDescent="0.3">
      <c r="A695" s="4"/>
      <c r="B695" s="4"/>
      <c r="C695" s="4"/>
      <c r="D695" s="5"/>
      <c r="E695" s="4"/>
    </row>
    <row r="696" spans="1:5" ht="14.25" customHeight="1" x14ac:dyDescent="0.3">
      <c r="A696" s="4"/>
      <c r="B696" s="4"/>
      <c r="C696" s="4"/>
      <c r="D696" s="5"/>
      <c r="E696" s="4"/>
    </row>
    <row r="697" spans="1:5" ht="14.25" customHeight="1" x14ac:dyDescent="0.3">
      <c r="A697" s="4"/>
      <c r="B697" s="4"/>
      <c r="C697" s="4"/>
      <c r="D697" s="5"/>
      <c r="E697" s="4"/>
    </row>
    <row r="698" spans="1:5" ht="14.25" customHeight="1" x14ac:dyDescent="0.3">
      <c r="A698" s="4"/>
      <c r="B698" s="4"/>
      <c r="C698" s="4"/>
      <c r="D698" s="5"/>
      <c r="E698" s="4"/>
    </row>
    <row r="699" spans="1:5" ht="14.25" customHeight="1" x14ac:dyDescent="0.3">
      <c r="A699" s="4"/>
      <c r="B699" s="4"/>
      <c r="C699" s="4"/>
      <c r="D699" s="5"/>
      <c r="E699" s="4"/>
    </row>
    <row r="700" spans="1:5" ht="14.25" customHeight="1" x14ac:dyDescent="0.3">
      <c r="A700" s="4"/>
      <c r="B700" s="4"/>
      <c r="C700" s="4"/>
      <c r="D700" s="5"/>
      <c r="E700" s="4"/>
    </row>
    <row r="701" spans="1:5" ht="14.25" customHeight="1" x14ac:dyDescent="0.3">
      <c r="A701" s="4"/>
      <c r="B701" s="4"/>
      <c r="C701" s="4"/>
      <c r="D701" s="5"/>
      <c r="E701" s="4"/>
    </row>
    <row r="702" spans="1:5" ht="14.25" customHeight="1" x14ac:dyDescent="0.3">
      <c r="A702" s="4"/>
      <c r="B702" s="4"/>
      <c r="C702" s="4"/>
      <c r="D702" s="5"/>
      <c r="E702" s="4"/>
    </row>
    <row r="703" spans="1:5" ht="14.25" customHeight="1" x14ac:dyDescent="0.3">
      <c r="A703" s="4"/>
      <c r="B703" s="4"/>
      <c r="C703" s="4"/>
      <c r="D703" s="5"/>
      <c r="E703" s="4"/>
    </row>
    <row r="704" spans="1:5" ht="14.25" customHeight="1" x14ac:dyDescent="0.3">
      <c r="A704" s="4"/>
      <c r="B704" s="4"/>
      <c r="C704" s="4"/>
      <c r="D704" s="5"/>
      <c r="E704" s="4"/>
    </row>
    <row r="705" spans="1:5" ht="14.25" customHeight="1" x14ac:dyDescent="0.3">
      <c r="A705" s="4"/>
      <c r="B705" s="4"/>
      <c r="C705" s="4"/>
      <c r="D705" s="5"/>
      <c r="E705" s="4"/>
    </row>
    <row r="706" spans="1:5" ht="14.25" customHeight="1" x14ac:dyDescent="0.3">
      <c r="A706" s="4"/>
      <c r="B706" s="4"/>
      <c r="C706" s="4"/>
      <c r="D706" s="5"/>
      <c r="E706" s="4"/>
    </row>
    <row r="707" spans="1:5" ht="14.25" customHeight="1" x14ac:dyDescent="0.3">
      <c r="A707" s="4"/>
      <c r="B707" s="4"/>
      <c r="C707" s="4"/>
      <c r="D707" s="5"/>
      <c r="E707" s="4"/>
    </row>
    <row r="708" spans="1:5" ht="14.25" customHeight="1" x14ac:dyDescent="0.3">
      <c r="A708" s="4"/>
      <c r="B708" s="4"/>
      <c r="C708" s="4"/>
      <c r="D708" s="5"/>
      <c r="E708" s="4"/>
    </row>
    <row r="709" spans="1:5" ht="14.25" customHeight="1" x14ac:dyDescent="0.3">
      <c r="A709" s="4"/>
      <c r="B709" s="4"/>
      <c r="C709" s="4"/>
      <c r="D709" s="5"/>
      <c r="E709" s="4"/>
    </row>
    <row r="710" spans="1:5" ht="14.25" customHeight="1" x14ac:dyDescent="0.3">
      <c r="A710" s="4"/>
      <c r="B710" s="4"/>
      <c r="C710" s="4"/>
      <c r="D710" s="5"/>
      <c r="E710" s="4"/>
    </row>
    <row r="711" spans="1:5" ht="14.25" customHeight="1" x14ac:dyDescent="0.3">
      <c r="A711" s="4"/>
      <c r="B711" s="4"/>
      <c r="C711" s="4"/>
      <c r="D711" s="5"/>
      <c r="E711" s="4"/>
    </row>
    <row r="712" spans="1:5" ht="14.25" customHeight="1" x14ac:dyDescent="0.3">
      <c r="A712" s="4"/>
      <c r="B712" s="4"/>
      <c r="C712" s="4"/>
      <c r="D712" s="5"/>
      <c r="E712" s="4"/>
    </row>
    <row r="713" spans="1:5" ht="14.25" customHeight="1" x14ac:dyDescent="0.3">
      <c r="A713" s="4"/>
      <c r="B713" s="4"/>
      <c r="C713" s="4"/>
      <c r="D713" s="5"/>
      <c r="E713" s="4"/>
    </row>
    <row r="714" spans="1:5" ht="14.25" customHeight="1" x14ac:dyDescent="0.3">
      <c r="A714" s="4"/>
      <c r="B714" s="4"/>
      <c r="C714" s="4"/>
      <c r="D714" s="5"/>
      <c r="E714" s="4"/>
    </row>
    <row r="715" spans="1:5" ht="14.25" customHeight="1" x14ac:dyDescent="0.3">
      <c r="A715" s="4"/>
      <c r="B715" s="4"/>
      <c r="C715" s="4"/>
      <c r="D715" s="5"/>
      <c r="E715" s="4"/>
    </row>
    <row r="716" spans="1:5" ht="14.25" customHeight="1" x14ac:dyDescent="0.3">
      <c r="A716" s="4"/>
      <c r="B716" s="4"/>
      <c r="C716" s="4"/>
      <c r="D716" s="5"/>
      <c r="E716" s="4"/>
    </row>
    <row r="717" spans="1:5" ht="14.25" customHeight="1" x14ac:dyDescent="0.3">
      <c r="A717" s="4"/>
      <c r="B717" s="4"/>
      <c r="C717" s="4"/>
      <c r="D717" s="5"/>
      <c r="E717" s="4"/>
    </row>
    <row r="718" spans="1:5" ht="14.25" customHeight="1" x14ac:dyDescent="0.3">
      <c r="A718" s="4"/>
      <c r="B718" s="4"/>
      <c r="C718" s="4"/>
      <c r="D718" s="5"/>
      <c r="E718" s="4"/>
    </row>
    <row r="719" spans="1:5" ht="14.25" customHeight="1" x14ac:dyDescent="0.3">
      <c r="A719" s="4"/>
      <c r="B719" s="4"/>
      <c r="C719" s="4"/>
      <c r="D719" s="5"/>
      <c r="E719" s="4"/>
    </row>
    <row r="720" spans="1:5" ht="14.25" customHeight="1" x14ac:dyDescent="0.3">
      <c r="A720" s="4"/>
      <c r="B720" s="4"/>
      <c r="C720" s="4"/>
      <c r="D720" s="5"/>
      <c r="E720" s="4"/>
    </row>
    <row r="721" spans="1:5" ht="14.25" customHeight="1" x14ac:dyDescent="0.3">
      <c r="A721" s="4"/>
      <c r="B721" s="4"/>
      <c r="C721" s="4"/>
      <c r="D721" s="5"/>
      <c r="E721" s="4"/>
    </row>
    <row r="722" spans="1:5" ht="14.25" customHeight="1" x14ac:dyDescent="0.3">
      <c r="A722" s="4"/>
      <c r="B722" s="4"/>
      <c r="C722" s="4"/>
      <c r="D722" s="5"/>
      <c r="E722" s="4"/>
    </row>
    <row r="723" spans="1:5" ht="14.25" customHeight="1" x14ac:dyDescent="0.3">
      <c r="A723" s="4"/>
      <c r="B723" s="4"/>
      <c r="C723" s="4"/>
      <c r="D723" s="5"/>
      <c r="E723" s="4"/>
    </row>
    <row r="724" spans="1:5" ht="14.25" customHeight="1" x14ac:dyDescent="0.3">
      <c r="A724" s="4"/>
      <c r="B724" s="4"/>
      <c r="C724" s="4"/>
      <c r="D724" s="5"/>
      <c r="E724" s="4"/>
    </row>
    <row r="725" spans="1:5" ht="14.25" customHeight="1" x14ac:dyDescent="0.3">
      <c r="A725" s="4"/>
      <c r="B725" s="4"/>
      <c r="C725" s="4"/>
      <c r="D725" s="5"/>
      <c r="E725" s="4"/>
    </row>
    <row r="726" spans="1:5" ht="14.25" customHeight="1" x14ac:dyDescent="0.3">
      <c r="A726" s="4"/>
      <c r="B726" s="4"/>
      <c r="C726" s="4"/>
      <c r="D726" s="5"/>
      <c r="E726" s="4"/>
    </row>
    <row r="727" spans="1:5" ht="14.25" customHeight="1" x14ac:dyDescent="0.3">
      <c r="A727" s="4"/>
      <c r="B727" s="4"/>
      <c r="C727" s="4"/>
      <c r="D727" s="5"/>
      <c r="E727" s="4"/>
    </row>
    <row r="728" spans="1:5" ht="14.25" customHeight="1" x14ac:dyDescent="0.3">
      <c r="A728" s="4"/>
      <c r="B728" s="4"/>
      <c r="C728" s="4"/>
      <c r="D728" s="5"/>
      <c r="E728" s="4"/>
    </row>
    <row r="729" spans="1:5" ht="14.25" customHeight="1" x14ac:dyDescent="0.3">
      <c r="A729" s="4"/>
      <c r="B729" s="4"/>
      <c r="C729" s="4"/>
      <c r="D729" s="5"/>
      <c r="E729" s="4"/>
    </row>
    <row r="730" spans="1:5" ht="14.25" customHeight="1" x14ac:dyDescent="0.3">
      <c r="A730" s="4"/>
      <c r="B730" s="4"/>
      <c r="C730" s="4"/>
      <c r="D730" s="5"/>
      <c r="E730" s="4"/>
    </row>
    <row r="731" spans="1:5" ht="14.25" customHeight="1" x14ac:dyDescent="0.3">
      <c r="A731" s="4"/>
      <c r="B731" s="4"/>
      <c r="C731" s="4"/>
      <c r="D731" s="5"/>
      <c r="E731" s="4"/>
    </row>
    <row r="732" spans="1:5" ht="14.25" customHeight="1" x14ac:dyDescent="0.3">
      <c r="A732" s="4"/>
      <c r="B732" s="4"/>
      <c r="C732" s="4"/>
      <c r="D732" s="5"/>
      <c r="E732" s="4"/>
    </row>
    <row r="733" spans="1:5" ht="14.25" customHeight="1" x14ac:dyDescent="0.3">
      <c r="A733" s="4"/>
      <c r="B733" s="4"/>
      <c r="C733" s="4"/>
      <c r="D733" s="5"/>
      <c r="E733" s="4"/>
    </row>
    <row r="734" spans="1:5" ht="14.25" customHeight="1" x14ac:dyDescent="0.3">
      <c r="A734" s="4"/>
      <c r="B734" s="4"/>
      <c r="C734" s="4"/>
      <c r="D734" s="5"/>
      <c r="E734" s="4"/>
    </row>
    <row r="735" spans="1:5" ht="14.25" customHeight="1" x14ac:dyDescent="0.3">
      <c r="A735" s="4"/>
      <c r="B735" s="4"/>
      <c r="C735" s="4"/>
      <c r="D735" s="5"/>
      <c r="E735" s="4"/>
    </row>
    <row r="736" spans="1:5" ht="14.25" customHeight="1" x14ac:dyDescent="0.3">
      <c r="A736" s="4"/>
      <c r="B736" s="4"/>
      <c r="C736" s="4"/>
      <c r="D736" s="5"/>
      <c r="E736" s="4"/>
    </row>
    <row r="737" spans="1:5" ht="14.25" customHeight="1" x14ac:dyDescent="0.3">
      <c r="A737" s="4"/>
      <c r="B737" s="4"/>
      <c r="C737" s="4"/>
      <c r="D737" s="5"/>
      <c r="E737" s="4"/>
    </row>
    <row r="738" spans="1:5" ht="14.25" customHeight="1" x14ac:dyDescent="0.3">
      <c r="A738" s="4"/>
      <c r="B738" s="4"/>
      <c r="C738" s="4"/>
      <c r="D738" s="5"/>
      <c r="E738" s="4"/>
    </row>
    <row r="739" spans="1:5" ht="14.25" customHeight="1" x14ac:dyDescent="0.3">
      <c r="A739" s="4"/>
      <c r="B739" s="4"/>
      <c r="C739" s="4"/>
      <c r="D739" s="5"/>
      <c r="E739" s="4"/>
    </row>
    <row r="740" spans="1:5" ht="14.25" customHeight="1" x14ac:dyDescent="0.3">
      <c r="A740" s="4"/>
      <c r="B740" s="4"/>
      <c r="C740" s="4"/>
      <c r="D740" s="5"/>
      <c r="E740" s="4"/>
    </row>
    <row r="741" spans="1:5" ht="14.25" customHeight="1" x14ac:dyDescent="0.3">
      <c r="A741" s="4"/>
      <c r="B741" s="4"/>
      <c r="C741" s="4"/>
      <c r="D741" s="5"/>
      <c r="E741" s="4"/>
    </row>
    <row r="742" spans="1:5" ht="14.25" customHeight="1" x14ac:dyDescent="0.3">
      <c r="A742" s="4"/>
      <c r="B742" s="4"/>
      <c r="C742" s="4"/>
      <c r="D742" s="5"/>
      <c r="E742" s="4"/>
    </row>
    <row r="743" spans="1:5" ht="14.25" customHeight="1" x14ac:dyDescent="0.3">
      <c r="A743" s="4"/>
      <c r="B743" s="4"/>
      <c r="C743" s="4"/>
      <c r="D743" s="5"/>
      <c r="E743" s="4"/>
    </row>
    <row r="744" spans="1:5" ht="14.25" customHeight="1" x14ac:dyDescent="0.3">
      <c r="A744" s="4"/>
      <c r="B744" s="4"/>
      <c r="C744" s="4"/>
      <c r="D744" s="5"/>
      <c r="E744" s="4"/>
    </row>
    <row r="745" spans="1:5" ht="14.25" customHeight="1" x14ac:dyDescent="0.3">
      <c r="A745" s="4"/>
      <c r="B745" s="4"/>
      <c r="C745" s="4"/>
      <c r="D745" s="5"/>
      <c r="E745" s="4"/>
    </row>
    <row r="746" spans="1:5" ht="14.25" customHeight="1" x14ac:dyDescent="0.3">
      <c r="A746" s="4"/>
      <c r="B746" s="4"/>
      <c r="C746" s="4"/>
      <c r="D746" s="5"/>
      <c r="E746" s="4"/>
    </row>
    <row r="747" spans="1:5" ht="14.25" customHeight="1" x14ac:dyDescent="0.3">
      <c r="A747" s="4"/>
      <c r="B747" s="4"/>
      <c r="C747" s="4"/>
      <c r="D747" s="5"/>
      <c r="E747" s="4"/>
    </row>
    <row r="748" spans="1:5" ht="14.25" customHeight="1" x14ac:dyDescent="0.3">
      <c r="A748" s="4"/>
      <c r="B748" s="4"/>
      <c r="C748" s="4"/>
      <c r="D748" s="5"/>
      <c r="E748" s="4"/>
    </row>
    <row r="749" spans="1:5" ht="14.25" customHeight="1" x14ac:dyDescent="0.3">
      <c r="A749" s="4"/>
      <c r="B749" s="4"/>
      <c r="C749" s="4"/>
      <c r="D749" s="5"/>
      <c r="E749" s="4"/>
    </row>
    <row r="750" spans="1:5" ht="14.25" customHeight="1" x14ac:dyDescent="0.3">
      <c r="A750" s="4"/>
      <c r="B750" s="4"/>
      <c r="C750" s="4"/>
      <c r="D750" s="5"/>
      <c r="E750" s="4"/>
    </row>
    <row r="751" spans="1:5" ht="14.25" customHeight="1" x14ac:dyDescent="0.3">
      <c r="A751" s="4"/>
      <c r="B751" s="4"/>
      <c r="C751" s="4"/>
      <c r="D751" s="5"/>
      <c r="E751" s="4"/>
    </row>
    <row r="752" spans="1:5" ht="14.25" customHeight="1" x14ac:dyDescent="0.3">
      <c r="A752" s="4"/>
      <c r="B752" s="4"/>
      <c r="C752" s="4"/>
      <c r="D752" s="5"/>
      <c r="E752" s="4"/>
    </row>
    <row r="753" spans="1:5" ht="14.25" customHeight="1" x14ac:dyDescent="0.3">
      <c r="A753" s="4"/>
      <c r="B753" s="4"/>
      <c r="C753" s="4"/>
      <c r="D753" s="5"/>
      <c r="E753" s="4"/>
    </row>
    <row r="754" spans="1:5" ht="14.25" customHeight="1" x14ac:dyDescent="0.3">
      <c r="A754" s="4"/>
      <c r="B754" s="4"/>
      <c r="C754" s="4"/>
      <c r="D754" s="5"/>
      <c r="E754" s="4"/>
    </row>
    <row r="755" spans="1:5" ht="14.25" customHeight="1" x14ac:dyDescent="0.3">
      <c r="A755" s="4"/>
      <c r="B755" s="4"/>
      <c r="C755" s="4"/>
      <c r="D755" s="5"/>
      <c r="E755" s="4"/>
    </row>
    <row r="756" spans="1:5" ht="14.25" customHeight="1" x14ac:dyDescent="0.3">
      <c r="A756" s="4"/>
      <c r="B756" s="4"/>
      <c r="C756" s="4"/>
      <c r="D756" s="5"/>
      <c r="E756" s="4"/>
    </row>
    <row r="757" spans="1:5" ht="14.25" customHeight="1" x14ac:dyDescent="0.3">
      <c r="A757" s="4"/>
      <c r="B757" s="4"/>
      <c r="C757" s="4"/>
      <c r="D757" s="5"/>
      <c r="E757" s="4"/>
    </row>
    <row r="758" spans="1:5" ht="14.25" customHeight="1" x14ac:dyDescent="0.3">
      <c r="A758" s="4"/>
      <c r="B758" s="4"/>
      <c r="C758" s="4"/>
      <c r="D758" s="5"/>
      <c r="E758" s="4"/>
    </row>
    <row r="759" spans="1:5" ht="14.25" customHeight="1" x14ac:dyDescent="0.3">
      <c r="A759" s="4"/>
      <c r="B759" s="4"/>
      <c r="C759" s="4"/>
      <c r="D759" s="5"/>
      <c r="E759" s="4"/>
    </row>
    <row r="760" spans="1:5" ht="14.25" customHeight="1" x14ac:dyDescent="0.3">
      <c r="A760" s="4"/>
      <c r="B760" s="4"/>
      <c r="C760" s="4"/>
      <c r="D760" s="5"/>
      <c r="E760" s="4"/>
    </row>
    <row r="761" spans="1:5" ht="14.25" customHeight="1" x14ac:dyDescent="0.3">
      <c r="A761" s="4"/>
      <c r="B761" s="4"/>
      <c r="C761" s="4"/>
      <c r="D761" s="5"/>
      <c r="E761" s="4"/>
    </row>
    <row r="762" spans="1:5" ht="14.25" customHeight="1" x14ac:dyDescent="0.3">
      <c r="A762" s="4"/>
      <c r="B762" s="4"/>
      <c r="C762" s="4"/>
      <c r="D762" s="5"/>
      <c r="E762" s="4"/>
    </row>
    <row r="763" spans="1:5" ht="14.25" customHeight="1" x14ac:dyDescent="0.3">
      <c r="A763" s="4"/>
      <c r="B763" s="4"/>
      <c r="C763" s="4"/>
      <c r="D763" s="5"/>
      <c r="E763" s="4"/>
    </row>
    <row r="764" spans="1:5" ht="14.25" customHeight="1" x14ac:dyDescent="0.3">
      <c r="A764" s="4"/>
      <c r="B764" s="4"/>
      <c r="C764" s="4"/>
      <c r="D764" s="5"/>
      <c r="E764" s="4"/>
    </row>
    <row r="765" spans="1:5" ht="14.25" customHeight="1" x14ac:dyDescent="0.3">
      <c r="A765" s="4"/>
      <c r="B765" s="4"/>
      <c r="C765" s="4"/>
      <c r="D765" s="5"/>
      <c r="E765" s="4"/>
    </row>
    <row r="766" spans="1:5" ht="14.25" customHeight="1" x14ac:dyDescent="0.3">
      <c r="A766" s="4"/>
      <c r="B766" s="4"/>
      <c r="C766" s="4"/>
      <c r="D766" s="5"/>
      <c r="E766" s="4"/>
    </row>
    <row r="767" spans="1:5" ht="14.25" customHeight="1" x14ac:dyDescent="0.3">
      <c r="A767" s="4"/>
      <c r="B767" s="4"/>
      <c r="C767" s="4"/>
      <c r="D767" s="5"/>
      <c r="E767" s="4"/>
    </row>
    <row r="768" spans="1:5" ht="14.25" customHeight="1" x14ac:dyDescent="0.3">
      <c r="A768" s="4"/>
      <c r="B768" s="4"/>
      <c r="C768" s="4"/>
      <c r="D768" s="5"/>
      <c r="E768" s="4"/>
    </row>
    <row r="769" spans="1:5" ht="14.25" customHeight="1" x14ac:dyDescent="0.3">
      <c r="A769" s="4"/>
      <c r="B769" s="4"/>
      <c r="C769" s="4"/>
      <c r="D769" s="5"/>
      <c r="E769" s="4"/>
    </row>
    <row r="770" spans="1:5" ht="14.25" customHeight="1" x14ac:dyDescent="0.3">
      <c r="A770" s="4"/>
      <c r="B770" s="4"/>
      <c r="C770" s="4"/>
      <c r="D770" s="5"/>
      <c r="E770" s="4"/>
    </row>
    <row r="771" spans="1:5" ht="14.25" customHeight="1" x14ac:dyDescent="0.3">
      <c r="A771" s="4"/>
      <c r="B771" s="4"/>
      <c r="C771" s="4"/>
      <c r="D771" s="5"/>
      <c r="E771" s="4"/>
    </row>
    <row r="772" spans="1:5" ht="14.25" customHeight="1" x14ac:dyDescent="0.3">
      <c r="A772" s="4"/>
      <c r="B772" s="4"/>
      <c r="C772" s="4"/>
      <c r="D772" s="5"/>
      <c r="E772" s="4"/>
    </row>
    <row r="773" spans="1:5" ht="14.25" customHeight="1" x14ac:dyDescent="0.3">
      <c r="A773" s="4"/>
      <c r="B773" s="4"/>
      <c r="C773" s="4"/>
      <c r="D773" s="5"/>
      <c r="E773" s="4"/>
    </row>
    <row r="774" spans="1:5" ht="14.25" customHeight="1" x14ac:dyDescent="0.3">
      <c r="A774" s="4"/>
      <c r="B774" s="4"/>
      <c r="C774" s="4"/>
      <c r="D774" s="5"/>
      <c r="E774" s="4"/>
    </row>
    <row r="775" spans="1:5" ht="14.25" customHeight="1" x14ac:dyDescent="0.3">
      <c r="A775" s="4"/>
      <c r="B775" s="4"/>
      <c r="C775" s="4"/>
      <c r="D775" s="5"/>
      <c r="E775" s="4"/>
    </row>
    <row r="776" spans="1:5" ht="14.25" customHeight="1" x14ac:dyDescent="0.3">
      <c r="A776" s="4"/>
      <c r="B776" s="4"/>
      <c r="C776" s="4"/>
      <c r="D776" s="5"/>
      <c r="E776" s="4"/>
    </row>
    <row r="777" spans="1:5" ht="14.25" customHeight="1" x14ac:dyDescent="0.3">
      <c r="A777" s="4"/>
      <c r="B777" s="4"/>
      <c r="C777" s="4"/>
      <c r="D777" s="5"/>
      <c r="E777" s="4"/>
    </row>
    <row r="778" spans="1:5" ht="14.25" customHeight="1" x14ac:dyDescent="0.3">
      <c r="A778" s="4"/>
      <c r="B778" s="4"/>
      <c r="C778" s="4"/>
      <c r="D778" s="5"/>
      <c r="E778" s="4"/>
    </row>
    <row r="779" spans="1:5" ht="14.25" customHeight="1" x14ac:dyDescent="0.3">
      <c r="A779" s="4"/>
      <c r="B779" s="4"/>
      <c r="C779" s="4"/>
      <c r="D779" s="5"/>
      <c r="E779" s="4"/>
    </row>
    <row r="780" spans="1:5" ht="14.25" customHeight="1" x14ac:dyDescent="0.3">
      <c r="A780" s="4"/>
      <c r="B780" s="4"/>
      <c r="C780" s="4"/>
      <c r="D780" s="5"/>
      <c r="E780" s="4"/>
    </row>
    <row r="781" spans="1:5" ht="14.25" customHeight="1" x14ac:dyDescent="0.3">
      <c r="A781" s="4"/>
      <c r="B781" s="4"/>
      <c r="C781" s="4"/>
      <c r="D781" s="5"/>
      <c r="E781" s="4"/>
    </row>
    <row r="782" spans="1:5" ht="14.25" customHeight="1" x14ac:dyDescent="0.3">
      <c r="A782" s="4"/>
      <c r="B782" s="4"/>
      <c r="C782" s="4"/>
      <c r="D782" s="5"/>
      <c r="E782" s="4"/>
    </row>
    <row r="783" spans="1:5" ht="14.25" customHeight="1" x14ac:dyDescent="0.3">
      <c r="A783" s="4"/>
      <c r="B783" s="4"/>
      <c r="C783" s="4"/>
      <c r="D783" s="5"/>
      <c r="E783" s="4"/>
    </row>
    <row r="784" spans="1:5" ht="14.25" customHeight="1" x14ac:dyDescent="0.3">
      <c r="A784" s="4"/>
      <c r="B784" s="4"/>
      <c r="C784" s="4"/>
      <c r="D784" s="5"/>
      <c r="E784" s="4"/>
    </row>
    <row r="785" spans="1:5" ht="14.25" customHeight="1" x14ac:dyDescent="0.3">
      <c r="A785" s="4"/>
      <c r="B785" s="4"/>
      <c r="C785" s="4"/>
      <c r="D785" s="5"/>
      <c r="E785" s="4"/>
    </row>
    <row r="786" spans="1:5" ht="14.25" customHeight="1" x14ac:dyDescent="0.3">
      <c r="A786" s="4"/>
      <c r="B786" s="4"/>
      <c r="C786" s="4"/>
      <c r="D786" s="5"/>
      <c r="E786" s="4"/>
    </row>
    <row r="787" spans="1:5" ht="14.25" customHeight="1" x14ac:dyDescent="0.3">
      <c r="A787" s="4"/>
      <c r="B787" s="4"/>
      <c r="C787" s="4"/>
      <c r="D787" s="5"/>
      <c r="E787" s="4"/>
    </row>
    <row r="788" spans="1:5" ht="14.25" customHeight="1" x14ac:dyDescent="0.3">
      <c r="A788" s="4"/>
      <c r="B788" s="4"/>
      <c r="C788" s="4"/>
      <c r="D788" s="5"/>
      <c r="E788" s="4"/>
    </row>
    <row r="789" spans="1:5" ht="14.25" customHeight="1" x14ac:dyDescent="0.3">
      <c r="A789" s="4"/>
      <c r="B789" s="4"/>
      <c r="C789" s="4"/>
      <c r="D789" s="5"/>
      <c r="E789" s="4"/>
    </row>
    <row r="790" spans="1:5" ht="14.25" customHeight="1" x14ac:dyDescent="0.3">
      <c r="A790" s="4"/>
      <c r="B790" s="4"/>
      <c r="C790" s="4"/>
      <c r="D790" s="5"/>
      <c r="E790" s="4"/>
    </row>
    <row r="791" spans="1:5" ht="14.25" customHeight="1" x14ac:dyDescent="0.3">
      <c r="A791" s="4"/>
      <c r="B791" s="4"/>
      <c r="C791" s="4"/>
      <c r="D791" s="5"/>
      <c r="E791" s="4"/>
    </row>
    <row r="792" spans="1:5" ht="14.25" customHeight="1" x14ac:dyDescent="0.3">
      <c r="A792" s="4"/>
      <c r="B792" s="4"/>
      <c r="C792" s="4"/>
      <c r="D792" s="5"/>
      <c r="E792" s="4"/>
    </row>
    <row r="793" spans="1:5" ht="14.25" customHeight="1" x14ac:dyDescent="0.3">
      <c r="A793" s="4"/>
      <c r="B793" s="4"/>
      <c r="C793" s="4"/>
      <c r="D793" s="5"/>
      <c r="E793" s="4"/>
    </row>
    <row r="794" spans="1:5" ht="14.25" customHeight="1" x14ac:dyDescent="0.3">
      <c r="A794" s="4"/>
      <c r="B794" s="4"/>
      <c r="C794" s="4"/>
      <c r="D794" s="5"/>
      <c r="E794" s="4"/>
    </row>
    <row r="795" spans="1:5" ht="14.25" customHeight="1" x14ac:dyDescent="0.3">
      <c r="A795" s="4"/>
      <c r="B795" s="4"/>
      <c r="C795" s="4"/>
      <c r="D795" s="5"/>
      <c r="E795" s="4"/>
    </row>
    <row r="796" spans="1:5" ht="14.25" customHeight="1" x14ac:dyDescent="0.3">
      <c r="A796" s="4"/>
      <c r="B796" s="4"/>
      <c r="C796" s="4"/>
      <c r="D796" s="5"/>
      <c r="E796" s="4"/>
    </row>
    <row r="797" spans="1:5" ht="14.25" customHeight="1" x14ac:dyDescent="0.3">
      <c r="A797" s="4"/>
      <c r="B797" s="4"/>
      <c r="C797" s="4"/>
      <c r="D797" s="5"/>
      <c r="E797" s="4"/>
    </row>
    <row r="798" spans="1:5" ht="14.25" customHeight="1" x14ac:dyDescent="0.3">
      <c r="A798" s="4"/>
      <c r="B798" s="4"/>
      <c r="C798" s="4"/>
      <c r="D798" s="5"/>
      <c r="E798" s="4"/>
    </row>
    <row r="799" spans="1:5" ht="14.25" customHeight="1" x14ac:dyDescent="0.3">
      <c r="A799" s="4"/>
      <c r="B799" s="4"/>
      <c r="C799" s="4"/>
      <c r="D799" s="5"/>
      <c r="E799" s="4"/>
    </row>
    <row r="800" spans="1:5" ht="14.25" customHeight="1" x14ac:dyDescent="0.3">
      <c r="A800" s="4"/>
      <c r="B800" s="4"/>
      <c r="C800" s="4"/>
      <c r="D800" s="5"/>
      <c r="E800" s="4"/>
    </row>
    <row r="801" spans="1:5" ht="14.25" customHeight="1" x14ac:dyDescent="0.3">
      <c r="A801" s="4"/>
      <c r="B801" s="4"/>
      <c r="C801" s="4"/>
      <c r="D801" s="5"/>
      <c r="E801" s="4"/>
    </row>
    <row r="802" spans="1:5" ht="14.25" customHeight="1" x14ac:dyDescent="0.3">
      <c r="A802" s="4"/>
      <c r="B802" s="4"/>
      <c r="C802" s="4"/>
      <c r="D802" s="5"/>
      <c r="E802" s="4"/>
    </row>
    <row r="803" spans="1:5" ht="14.25" customHeight="1" x14ac:dyDescent="0.3">
      <c r="A803" s="4"/>
      <c r="B803" s="4"/>
      <c r="C803" s="4"/>
      <c r="D803" s="5"/>
      <c r="E803" s="4"/>
    </row>
    <row r="804" spans="1:5" ht="14.25" customHeight="1" x14ac:dyDescent="0.3">
      <c r="A804" s="4"/>
      <c r="B804" s="4"/>
      <c r="C804" s="4"/>
      <c r="D804" s="5"/>
      <c r="E804" s="4"/>
    </row>
    <row r="805" spans="1:5" ht="14.25" customHeight="1" x14ac:dyDescent="0.3">
      <c r="A805" s="4"/>
      <c r="B805" s="4"/>
      <c r="C805" s="4"/>
      <c r="D805" s="5"/>
      <c r="E805" s="4"/>
    </row>
    <row r="806" spans="1:5" ht="14.25" customHeight="1" x14ac:dyDescent="0.3">
      <c r="A806" s="4"/>
      <c r="B806" s="4"/>
      <c r="C806" s="4"/>
      <c r="D806" s="5"/>
      <c r="E806" s="4"/>
    </row>
    <row r="807" spans="1:5" ht="14.25" customHeight="1" x14ac:dyDescent="0.3">
      <c r="A807" s="4"/>
      <c r="B807" s="4"/>
      <c r="C807" s="4"/>
      <c r="D807" s="5"/>
      <c r="E807" s="4"/>
    </row>
    <row r="808" spans="1:5" ht="14.25" customHeight="1" x14ac:dyDescent="0.3">
      <c r="A808" s="4"/>
      <c r="B808" s="4"/>
      <c r="C808" s="4"/>
      <c r="D808" s="5"/>
      <c r="E808" s="4"/>
    </row>
    <row r="809" spans="1:5" ht="14.25" customHeight="1" x14ac:dyDescent="0.3">
      <c r="A809" s="4"/>
      <c r="B809" s="4"/>
      <c r="C809" s="4"/>
      <c r="D809" s="5"/>
      <c r="E809" s="4"/>
    </row>
    <row r="810" spans="1:5" ht="14.25" customHeight="1" x14ac:dyDescent="0.3">
      <c r="A810" s="4"/>
      <c r="B810" s="4"/>
      <c r="C810" s="4"/>
      <c r="D810" s="5"/>
      <c r="E810" s="4"/>
    </row>
    <row r="811" spans="1:5" ht="14.25" customHeight="1" x14ac:dyDescent="0.3">
      <c r="A811" s="4"/>
      <c r="B811" s="4"/>
      <c r="C811" s="4"/>
      <c r="D811" s="5"/>
      <c r="E811" s="4"/>
    </row>
    <row r="812" spans="1:5" ht="14.25" customHeight="1" x14ac:dyDescent="0.3">
      <c r="A812" s="4"/>
      <c r="B812" s="4"/>
      <c r="C812" s="4"/>
      <c r="D812" s="5"/>
      <c r="E812" s="4"/>
    </row>
    <row r="813" spans="1:5" ht="14.25" customHeight="1" x14ac:dyDescent="0.3">
      <c r="A813" s="4"/>
      <c r="B813" s="4"/>
      <c r="C813" s="4"/>
      <c r="D813" s="5"/>
      <c r="E813" s="4"/>
    </row>
    <row r="814" spans="1:5" ht="14.25" customHeight="1" x14ac:dyDescent="0.3">
      <c r="A814" s="4"/>
      <c r="B814" s="4"/>
      <c r="C814" s="4"/>
      <c r="D814" s="5"/>
      <c r="E814" s="4"/>
    </row>
    <row r="815" spans="1:5" ht="14.25" customHeight="1" x14ac:dyDescent="0.3">
      <c r="A815" s="4"/>
      <c r="B815" s="4"/>
      <c r="C815" s="4"/>
      <c r="D815" s="5"/>
      <c r="E815" s="4"/>
    </row>
    <row r="816" spans="1:5" ht="14.25" customHeight="1" x14ac:dyDescent="0.3">
      <c r="A816" s="4"/>
      <c r="B816" s="4"/>
      <c r="C816" s="4"/>
      <c r="D816" s="5"/>
      <c r="E816" s="4"/>
    </row>
    <row r="817" spans="1:5" ht="14.25" customHeight="1" x14ac:dyDescent="0.3">
      <c r="A817" s="4"/>
      <c r="B817" s="4"/>
      <c r="C817" s="4"/>
      <c r="D817" s="5"/>
      <c r="E817" s="4"/>
    </row>
    <row r="818" spans="1:5" ht="14.25" customHeight="1" x14ac:dyDescent="0.3">
      <c r="A818" s="4"/>
      <c r="B818" s="4"/>
      <c r="C818" s="4"/>
      <c r="D818" s="5"/>
      <c r="E818" s="4"/>
    </row>
    <row r="819" spans="1:5" ht="14.25" customHeight="1" x14ac:dyDescent="0.3">
      <c r="A819" s="4"/>
      <c r="B819" s="4"/>
      <c r="C819" s="4"/>
      <c r="D819" s="5"/>
      <c r="E819" s="4"/>
    </row>
    <row r="820" spans="1:5" ht="14.25" customHeight="1" x14ac:dyDescent="0.3">
      <c r="A820" s="4"/>
      <c r="B820" s="4"/>
      <c r="C820" s="4"/>
      <c r="D820" s="5"/>
      <c r="E820" s="4"/>
    </row>
    <row r="821" spans="1:5" ht="14.25" customHeight="1" x14ac:dyDescent="0.3">
      <c r="A821" s="4"/>
      <c r="B821" s="4"/>
      <c r="C821" s="4"/>
      <c r="D821" s="5"/>
      <c r="E821" s="4"/>
    </row>
    <row r="822" spans="1:5" ht="14.25" customHeight="1" x14ac:dyDescent="0.3">
      <c r="A822" s="4"/>
      <c r="B822" s="4"/>
      <c r="C822" s="4"/>
      <c r="D822" s="5"/>
      <c r="E822" s="4"/>
    </row>
    <row r="823" spans="1:5" ht="14.25" customHeight="1" x14ac:dyDescent="0.3">
      <c r="A823" s="4"/>
      <c r="B823" s="4"/>
      <c r="C823" s="4"/>
      <c r="D823" s="5"/>
      <c r="E823" s="4"/>
    </row>
    <row r="824" spans="1:5" ht="14.25" customHeight="1" x14ac:dyDescent="0.3">
      <c r="A824" s="4"/>
      <c r="B824" s="4"/>
      <c r="C824" s="4"/>
      <c r="D824" s="5"/>
      <c r="E824" s="4"/>
    </row>
    <row r="825" spans="1:5" ht="14.25" customHeight="1" x14ac:dyDescent="0.3">
      <c r="A825" s="4"/>
      <c r="B825" s="4"/>
      <c r="C825" s="4"/>
      <c r="D825" s="5"/>
      <c r="E825" s="4"/>
    </row>
    <row r="826" spans="1:5" ht="14.25" customHeight="1" x14ac:dyDescent="0.3">
      <c r="A826" s="4"/>
      <c r="B826" s="4"/>
      <c r="C826" s="4"/>
      <c r="D826" s="5"/>
      <c r="E826" s="4"/>
    </row>
    <row r="827" spans="1:5" ht="14.25" customHeight="1" x14ac:dyDescent="0.3">
      <c r="A827" s="4"/>
      <c r="B827" s="4"/>
      <c r="C827" s="4"/>
      <c r="D827" s="5"/>
      <c r="E827" s="4"/>
    </row>
    <row r="828" spans="1:5" ht="14.25" customHeight="1" x14ac:dyDescent="0.3">
      <c r="A828" s="4"/>
      <c r="B828" s="4"/>
      <c r="C828" s="4"/>
      <c r="D828" s="5"/>
      <c r="E828" s="4"/>
    </row>
    <row r="829" spans="1:5" ht="14.25" customHeight="1" x14ac:dyDescent="0.3">
      <c r="A829" s="4"/>
      <c r="B829" s="4"/>
      <c r="C829" s="4"/>
      <c r="D829" s="5"/>
      <c r="E829" s="4"/>
    </row>
    <row r="830" spans="1:5" ht="14.25" customHeight="1" x14ac:dyDescent="0.3">
      <c r="A830" s="4"/>
      <c r="B830" s="4"/>
      <c r="C830" s="4"/>
      <c r="D830" s="5"/>
      <c r="E830" s="4"/>
    </row>
    <row r="831" spans="1:5" ht="14.25" customHeight="1" x14ac:dyDescent="0.3">
      <c r="A831" s="4"/>
      <c r="B831" s="4"/>
      <c r="C831" s="4"/>
      <c r="D831" s="5"/>
      <c r="E831" s="4"/>
    </row>
    <row r="832" spans="1:5" ht="14.25" customHeight="1" x14ac:dyDescent="0.3">
      <c r="A832" s="4"/>
      <c r="B832" s="4"/>
      <c r="C832" s="4"/>
      <c r="D832" s="5"/>
      <c r="E832" s="4"/>
    </row>
    <row r="833" spans="1:5" ht="14.25" customHeight="1" x14ac:dyDescent="0.3">
      <c r="A833" s="4"/>
      <c r="B833" s="4"/>
      <c r="C833" s="4"/>
      <c r="D833" s="5"/>
      <c r="E833" s="4"/>
    </row>
    <row r="834" spans="1:5" ht="14.25" customHeight="1" x14ac:dyDescent="0.3">
      <c r="A834" s="4"/>
      <c r="B834" s="4"/>
      <c r="C834" s="4"/>
      <c r="D834" s="5"/>
      <c r="E834" s="4"/>
    </row>
    <row r="835" spans="1:5" ht="14.25" customHeight="1" x14ac:dyDescent="0.3">
      <c r="A835" s="4"/>
      <c r="B835" s="4"/>
      <c r="C835" s="4"/>
      <c r="D835" s="5"/>
      <c r="E835" s="4"/>
    </row>
    <row r="836" spans="1:5" ht="14.25" customHeight="1" x14ac:dyDescent="0.3">
      <c r="A836" s="4"/>
      <c r="B836" s="4"/>
      <c r="C836" s="4"/>
      <c r="D836" s="5"/>
      <c r="E836" s="4"/>
    </row>
    <row r="837" spans="1:5" ht="14.25" customHeight="1" x14ac:dyDescent="0.3">
      <c r="A837" s="4"/>
      <c r="B837" s="4"/>
      <c r="C837" s="4"/>
      <c r="D837" s="5"/>
      <c r="E837" s="4"/>
    </row>
    <row r="838" spans="1:5" ht="14.25" customHeight="1" x14ac:dyDescent="0.3">
      <c r="A838" s="4"/>
      <c r="B838" s="4"/>
      <c r="C838" s="4"/>
      <c r="D838" s="5"/>
      <c r="E838" s="4"/>
    </row>
    <row r="839" spans="1:5" ht="14.25" customHeight="1" x14ac:dyDescent="0.3">
      <c r="A839" s="4"/>
      <c r="B839" s="4"/>
      <c r="C839" s="4"/>
      <c r="D839" s="5"/>
      <c r="E839" s="4"/>
    </row>
    <row r="840" spans="1:5" ht="14.25" customHeight="1" x14ac:dyDescent="0.3">
      <c r="A840" s="4"/>
      <c r="B840" s="4"/>
      <c r="C840" s="4"/>
      <c r="D840" s="5"/>
      <c r="E840" s="4"/>
    </row>
    <row r="841" spans="1:5" ht="14.25" customHeight="1" x14ac:dyDescent="0.3">
      <c r="A841" s="4"/>
      <c r="B841" s="4"/>
      <c r="C841" s="4"/>
      <c r="D841" s="5"/>
      <c r="E841" s="4"/>
    </row>
    <row r="842" spans="1:5" ht="14.25" customHeight="1" x14ac:dyDescent="0.3">
      <c r="A842" s="4"/>
      <c r="B842" s="4"/>
      <c r="C842" s="4"/>
      <c r="D842" s="5"/>
      <c r="E842" s="4"/>
    </row>
    <row r="843" spans="1:5" ht="14.25" customHeight="1" x14ac:dyDescent="0.3">
      <c r="A843" s="4"/>
      <c r="B843" s="4"/>
      <c r="C843" s="4"/>
      <c r="D843" s="5"/>
      <c r="E843" s="4"/>
    </row>
    <row r="844" spans="1:5" ht="14.25" customHeight="1" x14ac:dyDescent="0.3">
      <c r="A844" s="4"/>
      <c r="B844" s="4"/>
      <c r="C844" s="4"/>
      <c r="D844" s="5"/>
      <c r="E844" s="4"/>
    </row>
    <row r="845" spans="1:5" ht="14.25" customHeight="1" x14ac:dyDescent="0.3">
      <c r="A845" s="4"/>
      <c r="B845" s="4"/>
      <c r="C845" s="4"/>
      <c r="D845" s="5"/>
      <c r="E845" s="4"/>
    </row>
    <row r="846" spans="1:5" ht="14.25" customHeight="1" x14ac:dyDescent="0.3">
      <c r="A846" s="4"/>
      <c r="B846" s="4"/>
      <c r="C846" s="4"/>
      <c r="D846" s="5"/>
      <c r="E846" s="4"/>
    </row>
    <row r="847" spans="1:5" ht="14.25" customHeight="1" x14ac:dyDescent="0.3">
      <c r="A847" s="4"/>
      <c r="B847" s="4"/>
      <c r="C847" s="4"/>
      <c r="D847" s="5"/>
      <c r="E847" s="4"/>
    </row>
    <row r="848" spans="1:5" ht="14.25" customHeight="1" x14ac:dyDescent="0.3">
      <c r="A848" s="4"/>
      <c r="B848" s="4"/>
      <c r="C848" s="4"/>
      <c r="D848" s="5"/>
      <c r="E848" s="4"/>
    </row>
    <row r="849" spans="1:5" ht="14.25" customHeight="1" x14ac:dyDescent="0.3">
      <c r="A849" s="4"/>
      <c r="B849" s="4"/>
      <c r="C849" s="4"/>
      <c r="D849" s="5"/>
      <c r="E849" s="4"/>
    </row>
    <row r="850" spans="1:5" ht="14.25" customHeight="1" x14ac:dyDescent="0.3">
      <c r="A850" s="4"/>
      <c r="B850" s="4"/>
      <c r="C850" s="4"/>
      <c r="D850" s="5"/>
      <c r="E850" s="4"/>
    </row>
    <row r="851" spans="1:5" ht="14.25" customHeight="1" x14ac:dyDescent="0.3">
      <c r="A851" s="4"/>
      <c r="B851" s="4"/>
      <c r="C851" s="4"/>
      <c r="D851" s="5"/>
      <c r="E851" s="4"/>
    </row>
    <row r="852" spans="1:5" ht="14.25" customHeight="1" x14ac:dyDescent="0.3">
      <c r="A852" s="4"/>
      <c r="B852" s="4"/>
      <c r="C852" s="4"/>
      <c r="D852" s="5"/>
      <c r="E852" s="4"/>
    </row>
    <row r="853" spans="1:5" ht="14.25" customHeight="1" x14ac:dyDescent="0.3">
      <c r="A853" s="4"/>
      <c r="B853" s="4"/>
      <c r="C853" s="4"/>
      <c r="D853" s="5"/>
      <c r="E853" s="4"/>
    </row>
    <row r="854" spans="1:5" ht="14.25" customHeight="1" x14ac:dyDescent="0.3">
      <c r="A854" s="4"/>
      <c r="B854" s="4"/>
      <c r="C854" s="4"/>
      <c r="D854" s="5"/>
      <c r="E854" s="4"/>
    </row>
    <row r="855" spans="1:5" ht="14.25" customHeight="1" x14ac:dyDescent="0.3">
      <c r="A855" s="4"/>
      <c r="B855" s="4"/>
      <c r="C855" s="4"/>
      <c r="D855" s="5"/>
      <c r="E855" s="4"/>
    </row>
    <row r="856" spans="1:5" ht="14.25" customHeight="1" x14ac:dyDescent="0.3">
      <c r="A856" s="4"/>
      <c r="B856" s="4"/>
      <c r="C856" s="4"/>
      <c r="D856" s="5"/>
      <c r="E856" s="4"/>
    </row>
    <row r="857" spans="1:5" ht="14.25" customHeight="1" x14ac:dyDescent="0.3">
      <c r="A857" s="4"/>
      <c r="B857" s="4"/>
      <c r="C857" s="4"/>
      <c r="D857" s="5"/>
      <c r="E857" s="4"/>
    </row>
    <row r="858" spans="1:5" ht="14.25" customHeight="1" x14ac:dyDescent="0.3">
      <c r="A858" s="4"/>
      <c r="B858" s="4"/>
      <c r="C858" s="4"/>
      <c r="D858" s="5"/>
      <c r="E858" s="4"/>
    </row>
    <row r="859" spans="1:5" ht="14.25" customHeight="1" x14ac:dyDescent="0.3">
      <c r="A859" s="4"/>
      <c r="B859" s="4"/>
      <c r="C859" s="4"/>
      <c r="D859" s="5"/>
      <c r="E859" s="4"/>
    </row>
    <row r="860" spans="1:5" ht="14.25" customHeight="1" x14ac:dyDescent="0.3">
      <c r="A860" s="4"/>
      <c r="B860" s="4"/>
      <c r="C860" s="4"/>
      <c r="D860" s="5"/>
      <c r="E860" s="4"/>
    </row>
    <row r="861" spans="1:5" ht="14.25" customHeight="1" x14ac:dyDescent="0.3">
      <c r="A861" s="4"/>
      <c r="B861" s="4"/>
      <c r="C861" s="4"/>
      <c r="D861" s="5"/>
      <c r="E861" s="4"/>
    </row>
    <row r="862" spans="1:5" ht="14.25" customHeight="1" x14ac:dyDescent="0.3">
      <c r="A862" s="4"/>
      <c r="B862" s="4"/>
      <c r="C862" s="4"/>
      <c r="D862" s="5"/>
      <c r="E862" s="4"/>
    </row>
    <row r="863" spans="1:5" ht="14.25" customHeight="1" x14ac:dyDescent="0.3">
      <c r="A863" s="4"/>
      <c r="B863" s="4"/>
      <c r="C863" s="4"/>
      <c r="D863" s="5"/>
      <c r="E863" s="4"/>
    </row>
    <row r="864" spans="1:5" ht="14.25" customHeight="1" x14ac:dyDescent="0.3">
      <c r="A864" s="4"/>
      <c r="B864" s="4"/>
      <c r="C864" s="4"/>
      <c r="D864" s="5"/>
      <c r="E864" s="4"/>
    </row>
    <row r="865" spans="1:5" ht="14.25" customHeight="1" x14ac:dyDescent="0.3">
      <c r="A865" s="4"/>
      <c r="B865" s="4"/>
      <c r="C865" s="4"/>
      <c r="D865" s="5"/>
      <c r="E865" s="4"/>
    </row>
    <row r="866" spans="1:5" ht="14.25" customHeight="1" x14ac:dyDescent="0.3">
      <c r="A866" s="4"/>
      <c r="B866" s="4"/>
      <c r="C866" s="4"/>
      <c r="D866" s="5"/>
      <c r="E866" s="4"/>
    </row>
    <row r="867" spans="1:5" ht="14.25" customHeight="1" x14ac:dyDescent="0.3">
      <c r="A867" s="4"/>
      <c r="B867" s="4"/>
      <c r="C867" s="4"/>
      <c r="D867" s="5"/>
      <c r="E867" s="4"/>
    </row>
    <row r="868" spans="1:5" ht="14.25" customHeight="1" x14ac:dyDescent="0.3">
      <c r="A868" s="4"/>
      <c r="B868" s="4"/>
      <c r="C868" s="4"/>
      <c r="D868" s="5"/>
      <c r="E868" s="4"/>
    </row>
    <row r="869" spans="1:5" ht="14.25" customHeight="1" x14ac:dyDescent="0.3">
      <c r="A869" s="4"/>
      <c r="B869" s="4"/>
      <c r="C869" s="4"/>
      <c r="D869" s="5"/>
      <c r="E869" s="4"/>
    </row>
    <row r="870" spans="1:5" ht="14.25" customHeight="1" x14ac:dyDescent="0.3">
      <c r="A870" s="4"/>
      <c r="B870" s="4"/>
      <c r="C870" s="4"/>
      <c r="D870" s="5"/>
      <c r="E870" s="4"/>
    </row>
    <row r="871" spans="1:5" ht="14.25" customHeight="1" x14ac:dyDescent="0.3">
      <c r="A871" s="4"/>
      <c r="B871" s="4"/>
      <c r="C871" s="4"/>
      <c r="D871" s="5"/>
      <c r="E871" s="4"/>
    </row>
    <row r="872" spans="1:5" ht="14.25" customHeight="1" x14ac:dyDescent="0.3">
      <c r="A872" s="4"/>
      <c r="B872" s="4"/>
      <c r="C872" s="4"/>
      <c r="D872" s="5"/>
      <c r="E872" s="4"/>
    </row>
    <row r="873" spans="1:5" ht="14.25" customHeight="1" x14ac:dyDescent="0.3">
      <c r="A873" s="4"/>
      <c r="B873" s="4"/>
      <c r="C873" s="4"/>
      <c r="D873" s="5"/>
      <c r="E873" s="4"/>
    </row>
    <row r="874" spans="1:5" ht="14.25" customHeight="1" x14ac:dyDescent="0.3">
      <c r="A874" s="4"/>
      <c r="B874" s="4"/>
      <c r="C874" s="4"/>
      <c r="D874" s="5"/>
      <c r="E874" s="4"/>
    </row>
    <row r="875" spans="1:5" ht="14.25" customHeight="1" x14ac:dyDescent="0.3">
      <c r="A875" s="4"/>
      <c r="B875" s="4"/>
      <c r="C875" s="4"/>
      <c r="D875" s="5"/>
      <c r="E875" s="4"/>
    </row>
    <row r="876" spans="1:5" ht="14.25" customHeight="1" x14ac:dyDescent="0.3">
      <c r="A876" s="4"/>
      <c r="B876" s="4"/>
      <c r="C876" s="4"/>
      <c r="D876" s="5"/>
      <c r="E876" s="4"/>
    </row>
    <row r="877" spans="1:5" ht="14.25" customHeight="1" x14ac:dyDescent="0.3">
      <c r="A877" s="4"/>
      <c r="B877" s="4"/>
      <c r="C877" s="4"/>
      <c r="D877" s="5"/>
      <c r="E877" s="4"/>
    </row>
    <row r="878" spans="1:5" ht="14.25" customHeight="1" x14ac:dyDescent="0.3">
      <c r="A878" s="4"/>
      <c r="B878" s="4"/>
      <c r="C878" s="4"/>
      <c r="D878" s="5"/>
      <c r="E878" s="4"/>
    </row>
    <row r="879" spans="1:5" ht="14.25" customHeight="1" x14ac:dyDescent="0.3">
      <c r="A879" s="4"/>
      <c r="B879" s="4"/>
      <c r="C879" s="4"/>
      <c r="D879" s="5"/>
      <c r="E879" s="4"/>
    </row>
    <row r="880" spans="1:5" ht="14.25" customHeight="1" x14ac:dyDescent="0.3">
      <c r="A880" s="4"/>
      <c r="B880" s="4"/>
      <c r="C880" s="4"/>
      <c r="D880" s="5"/>
      <c r="E880" s="4"/>
    </row>
    <row r="881" spans="1:5" ht="14.25" customHeight="1" x14ac:dyDescent="0.3">
      <c r="A881" s="4"/>
      <c r="B881" s="4"/>
      <c r="C881" s="4"/>
      <c r="D881" s="5"/>
      <c r="E881" s="4"/>
    </row>
    <row r="882" spans="1:5" ht="14.25" customHeight="1" x14ac:dyDescent="0.3">
      <c r="A882" s="4"/>
      <c r="B882" s="4"/>
      <c r="C882" s="4"/>
      <c r="D882" s="5"/>
      <c r="E882" s="4"/>
    </row>
    <row r="883" spans="1:5" ht="14.25" customHeight="1" x14ac:dyDescent="0.3">
      <c r="A883" s="4"/>
      <c r="B883" s="4"/>
      <c r="C883" s="4"/>
      <c r="D883" s="5"/>
      <c r="E883" s="4"/>
    </row>
    <row r="884" spans="1:5" ht="14.25" customHeight="1" x14ac:dyDescent="0.3">
      <c r="A884" s="4"/>
      <c r="B884" s="4"/>
      <c r="C884" s="4"/>
      <c r="D884" s="5"/>
      <c r="E884" s="4"/>
    </row>
    <row r="885" spans="1:5" ht="14.25" customHeight="1" x14ac:dyDescent="0.3">
      <c r="A885" s="4"/>
      <c r="B885" s="4"/>
      <c r="C885" s="4"/>
      <c r="D885" s="5"/>
      <c r="E885" s="4"/>
    </row>
    <row r="886" spans="1:5" ht="14.25" customHeight="1" x14ac:dyDescent="0.3">
      <c r="A886" s="4"/>
      <c r="B886" s="4"/>
      <c r="C886" s="4"/>
      <c r="D886" s="5"/>
      <c r="E886" s="4"/>
    </row>
    <row r="887" spans="1:5" ht="14.25" customHeight="1" x14ac:dyDescent="0.3">
      <c r="A887" s="4"/>
      <c r="B887" s="4"/>
      <c r="C887" s="4"/>
      <c r="D887" s="5"/>
      <c r="E887" s="4"/>
    </row>
    <row r="888" spans="1:5" ht="14.25" customHeight="1" x14ac:dyDescent="0.3">
      <c r="A888" s="4"/>
      <c r="B888" s="4"/>
      <c r="C888" s="4"/>
      <c r="D888" s="5"/>
      <c r="E888" s="4"/>
    </row>
    <row r="889" spans="1:5" ht="14.25" customHeight="1" x14ac:dyDescent="0.3">
      <c r="A889" s="4"/>
      <c r="B889" s="4"/>
      <c r="C889" s="4"/>
      <c r="D889" s="5"/>
      <c r="E889" s="4"/>
    </row>
    <row r="890" spans="1:5" ht="14.25" customHeight="1" x14ac:dyDescent="0.3">
      <c r="A890" s="4"/>
      <c r="B890" s="4"/>
      <c r="C890" s="4"/>
      <c r="D890" s="5"/>
      <c r="E890" s="4"/>
    </row>
    <row r="891" spans="1:5" ht="14.25" customHeight="1" x14ac:dyDescent="0.3">
      <c r="A891" s="4"/>
      <c r="B891" s="4"/>
      <c r="C891" s="4"/>
      <c r="D891" s="5"/>
      <c r="E891" s="4"/>
    </row>
    <row r="892" spans="1:5" ht="14.25" customHeight="1" x14ac:dyDescent="0.3">
      <c r="A892" s="4"/>
      <c r="B892" s="4"/>
      <c r="C892" s="4"/>
      <c r="D892" s="5"/>
      <c r="E892" s="4"/>
    </row>
    <row r="893" spans="1:5" ht="14.25" customHeight="1" x14ac:dyDescent="0.3">
      <c r="A893" s="4"/>
      <c r="B893" s="4"/>
      <c r="C893" s="4"/>
      <c r="D893" s="5"/>
      <c r="E893" s="4"/>
    </row>
    <row r="894" spans="1:5" ht="14.25" customHeight="1" x14ac:dyDescent="0.3">
      <c r="A894" s="4"/>
      <c r="B894" s="4"/>
      <c r="C894" s="4"/>
      <c r="D894" s="5"/>
      <c r="E894" s="4"/>
    </row>
    <row r="895" spans="1:5" ht="14.25" customHeight="1" x14ac:dyDescent="0.3">
      <c r="A895" s="4"/>
      <c r="B895" s="4"/>
      <c r="C895" s="4"/>
      <c r="D895" s="5"/>
      <c r="E895" s="4"/>
    </row>
    <row r="896" spans="1:5" ht="14.25" customHeight="1" x14ac:dyDescent="0.3">
      <c r="A896" s="4"/>
      <c r="B896" s="4"/>
      <c r="C896" s="4"/>
      <c r="D896" s="5"/>
      <c r="E896" s="4"/>
    </row>
    <row r="897" spans="1:5" ht="14.25" customHeight="1" x14ac:dyDescent="0.3">
      <c r="A897" s="4"/>
      <c r="B897" s="4"/>
      <c r="C897" s="4"/>
      <c r="D897" s="5"/>
      <c r="E897" s="4"/>
    </row>
    <row r="898" spans="1:5" ht="14.25" customHeight="1" x14ac:dyDescent="0.3">
      <c r="A898" s="4"/>
      <c r="B898" s="4"/>
      <c r="C898" s="4"/>
      <c r="D898" s="5"/>
      <c r="E898" s="4"/>
    </row>
    <row r="899" spans="1:5" ht="14.25" customHeight="1" x14ac:dyDescent="0.3">
      <c r="A899" s="4"/>
      <c r="B899" s="4"/>
      <c r="C899" s="4"/>
      <c r="D899" s="5"/>
      <c r="E899" s="4"/>
    </row>
    <row r="900" spans="1:5" ht="14.25" customHeight="1" x14ac:dyDescent="0.3">
      <c r="A900" s="4"/>
      <c r="B900" s="4"/>
      <c r="C900" s="4"/>
      <c r="D900" s="5"/>
      <c r="E900" s="4"/>
    </row>
    <row r="901" spans="1:5" ht="14.25" customHeight="1" x14ac:dyDescent="0.3">
      <c r="A901" s="4"/>
      <c r="B901" s="4"/>
      <c r="C901" s="4"/>
      <c r="D901" s="5"/>
      <c r="E901" s="4"/>
    </row>
    <row r="902" spans="1:5" ht="14.25" customHeight="1" x14ac:dyDescent="0.3">
      <c r="A902" s="4"/>
      <c r="B902" s="4"/>
      <c r="C902" s="4"/>
      <c r="D902" s="5"/>
      <c r="E902" s="4"/>
    </row>
    <row r="903" spans="1:5" ht="14.25" customHeight="1" x14ac:dyDescent="0.3">
      <c r="A903" s="4"/>
      <c r="B903" s="4"/>
      <c r="C903" s="4"/>
      <c r="D903" s="5"/>
      <c r="E903" s="4"/>
    </row>
    <row r="904" spans="1:5" ht="14.25" customHeight="1" x14ac:dyDescent="0.3">
      <c r="A904" s="4"/>
      <c r="B904" s="4"/>
      <c r="C904" s="4"/>
      <c r="D904" s="5"/>
      <c r="E904" s="4"/>
    </row>
    <row r="905" spans="1:5" ht="14.25" customHeight="1" x14ac:dyDescent="0.3">
      <c r="A905" s="4"/>
      <c r="B905" s="4"/>
      <c r="C905" s="4"/>
      <c r="D905" s="5"/>
      <c r="E905" s="4"/>
    </row>
    <row r="906" spans="1:5" ht="14.25" customHeight="1" x14ac:dyDescent="0.3">
      <c r="A906" s="4"/>
      <c r="B906" s="4"/>
      <c r="C906" s="4"/>
      <c r="D906" s="5"/>
      <c r="E906" s="4"/>
    </row>
    <row r="907" spans="1:5" ht="14.25" customHeight="1" x14ac:dyDescent="0.3">
      <c r="A907" s="4"/>
      <c r="B907" s="4"/>
      <c r="C907" s="4"/>
      <c r="D907" s="5"/>
      <c r="E907" s="4"/>
    </row>
    <row r="908" spans="1:5" ht="14.25" customHeight="1" x14ac:dyDescent="0.3">
      <c r="A908" s="4"/>
      <c r="B908" s="4"/>
      <c r="C908" s="4"/>
      <c r="D908" s="5"/>
      <c r="E908" s="4"/>
    </row>
    <row r="909" spans="1:5" ht="14.25" customHeight="1" x14ac:dyDescent="0.3">
      <c r="A909" s="4"/>
      <c r="B909" s="4"/>
      <c r="C909" s="4"/>
      <c r="D909" s="5"/>
      <c r="E909" s="4"/>
    </row>
    <row r="910" spans="1:5" ht="14.25" customHeight="1" x14ac:dyDescent="0.3">
      <c r="A910" s="4"/>
      <c r="B910" s="4"/>
      <c r="C910" s="4"/>
      <c r="D910" s="5"/>
      <c r="E910" s="4"/>
    </row>
    <row r="911" spans="1:5" ht="14.25" customHeight="1" x14ac:dyDescent="0.3">
      <c r="A911" s="4"/>
      <c r="B911" s="4"/>
      <c r="C911" s="4"/>
      <c r="D911" s="5"/>
      <c r="E911" s="4"/>
    </row>
    <row r="912" spans="1:5" ht="14.25" customHeight="1" x14ac:dyDescent="0.3">
      <c r="A912" s="4"/>
      <c r="B912" s="4"/>
      <c r="C912" s="4"/>
      <c r="D912" s="5"/>
      <c r="E912" s="4"/>
    </row>
    <row r="913" spans="1:5" ht="14.25" customHeight="1" x14ac:dyDescent="0.3">
      <c r="A913" s="4"/>
      <c r="B913" s="4"/>
      <c r="C913" s="4"/>
      <c r="D913" s="5"/>
      <c r="E913" s="4"/>
    </row>
    <row r="914" spans="1:5" ht="14.25" customHeight="1" x14ac:dyDescent="0.3">
      <c r="A914" s="4"/>
      <c r="B914" s="4"/>
      <c r="C914" s="4"/>
      <c r="D914" s="5"/>
      <c r="E914" s="4"/>
    </row>
    <row r="915" spans="1:5" ht="14.25" customHeight="1" x14ac:dyDescent="0.3">
      <c r="A915" s="4"/>
      <c r="B915" s="4"/>
      <c r="C915" s="4"/>
      <c r="D915" s="5"/>
      <c r="E915" s="4"/>
    </row>
    <row r="916" spans="1:5" ht="14.25" customHeight="1" x14ac:dyDescent="0.3">
      <c r="A916" s="4"/>
      <c r="B916" s="4"/>
      <c r="C916" s="4"/>
      <c r="D916" s="5"/>
      <c r="E916" s="4"/>
    </row>
    <row r="917" spans="1:5" ht="14.25" customHeight="1" x14ac:dyDescent="0.3">
      <c r="A917" s="4"/>
      <c r="B917" s="4"/>
      <c r="C917" s="4"/>
      <c r="D917" s="5"/>
      <c r="E917" s="4"/>
    </row>
    <row r="918" spans="1:5" ht="14.25" customHeight="1" x14ac:dyDescent="0.3">
      <c r="A918" s="4"/>
      <c r="B918" s="4"/>
      <c r="C918" s="4"/>
      <c r="D918" s="5"/>
      <c r="E918" s="4"/>
    </row>
    <row r="919" spans="1:5" ht="14.25" customHeight="1" x14ac:dyDescent="0.3">
      <c r="A919" s="4"/>
      <c r="B919" s="4"/>
      <c r="C919" s="4"/>
      <c r="D919" s="5"/>
      <c r="E919" s="4"/>
    </row>
    <row r="920" spans="1:5" ht="14.25" customHeight="1" x14ac:dyDescent="0.3">
      <c r="A920" s="4"/>
      <c r="B920" s="4"/>
      <c r="C920" s="4"/>
      <c r="D920" s="5"/>
      <c r="E920" s="4"/>
    </row>
    <row r="921" spans="1:5" ht="14.25" customHeight="1" x14ac:dyDescent="0.3">
      <c r="A921" s="4"/>
      <c r="B921" s="4"/>
      <c r="C921" s="4"/>
      <c r="D921" s="5"/>
      <c r="E921" s="4"/>
    </row>
    <row r="922" spans="1:5" ht="14.25" customHeight="1" x14ac:dyDescent="0.3">
      <c r="A922" s="4"/>
      <c r="B922" s="4"/>
      <c r="C922" s="4"/>
      <c r="D922" s="5"/>
      <c r="E922" s="4"/>
    </row>
    <row r="923" spans="1:5" ht="14.25" customHeight="1" x14ac:dyDescent="0.3">
      <c r="A923" s="4"/>
      <c r="B923" s="4"/>
      <c r="C923" s="4"/>
      <c r="D923" s="5"/>
      <c r="E923" s="4"/>
    </row>
    <row r="924" spans="1:5" ht="14.25" customHeight="1" x14ac:dyDescent="0.3">
      <c r="A924" s="4"/>
      <c r="B924" s="4"/>
      <c r="C924" s="4"/>
      <c r="D924" s="5"/>
      <c r="E924" s="4"/>
    </row>
    <row r="925" spans="1:5" ht="14.25" customHeight="1" x14ac:dyDescent="0.3">
      <c r="A925" s="4"/>
      <c r="B925" s="4"/>
      <c r="C925" s="4"/>
      <c r="D925" s="5"/>
      <c r="E925" s="4"/>
    </row>
    <row r="926" spans="1:5" ht="14.25" customHeight="1" x14ac:dyDescent="0.3">
      <c r="A926" s="4"/>
      <c r="B926" s="4"/>
      <c r="C926" s="4"/>
      <c r="D926" s="5"/>
      <c r="E926" s="4"/>
    </row>
    <row r="927" spans="1:5" ht="14.25" customHeight="1" x14ac:dyDescent="0.3">
      <c r="A927" s="4"/>
      <c r="B927" s="4"/>
      <c r="C927" s="4"/>
      <c r="D927" s="5"/>
      <c r="E927" s="4"/>
    </row>
    <row r="928" spans="1:5" ht="14.25" customHeight="1" x14ac:dyDescent="0.3">
      <c r="A928" s="4"/>
      <c r="B928" s="4"/>
      <c r="C928" s="4"/>
      <c r="D928" s="5"/>
      <c r="E928" s="4"/>
    </row>
    <row r="929" spans="1:5" ht="14.25" customHeight="1" x14ac:dyDescent="0.3">
      <c r="A929" s="4"/>
      <c r="B929" s="4"/>
      <c r="C929" s="4"/>
      <c r="D929" s="5"/>
      <c r="E929" s="4"/>
    </row>
    <row r="930" spans="1:5" ht="14.25" customHeight="1" x14ac:dyDescent="0.3">
      <c r="A930" s="4"/>
      <c r="B930" s="4"/>
      <c r="C930" s="4"/>
      <c r="D930" s="5"/>
      <c r="E930" s="4"/>
    </row>
    <row r="931" spans="1:5" ht="14.25" customHeight="1" x14ac:dyDescent="0.3">
      <c r="A931" s="4"/>
      <c r="B931" s="4"/>
      <c r="C931" s="4"/>
      <c r="D931" s="5"/>
      <c r="E931" s="4"/>
    </row>
    <row r="932" spans="1:5" ht="14.25" customHeight="1" x14ac:dyDescent="0.3">
      <c r="A932" s="4"/>
      <c r="B932" s="4"/>
      <c r="C932" s="4"/>
      <c r="D932" s="5"/>
      <c r="E932" s="4"/>
    </row>
    <row r="933" spans="1:5" ht="14.25" customHeight="1" x14ac:dyDescent="0.3">
      <c r="A933" s="4"/>
      <c r="B933" s="4"/>
      <c r="C933" s="4"/>
      <c r="D933" s="5"/>
      <c r="E933" s="4"/>
    </row>
    <row r="934" spans="1:5" ht="14.25" customHeight="1" x14ac:dyDescent="0.3">
      <c r="A934" s="4"/>
      <c r="B934" s="4"/>
      <c r="C934" s="4"/>
      <c r="D934" s="5"/>
      <c r="E934" s="4"/>
    </row>
    <row r="935" spans="1:5" ht="14.25" customHeight="1" x14ac:dyDescent="0.3">
      <c r="A935" s="4"/>
      <c r="B935" s="4"/>
      <c r="C935" s="4"/>
      <c r="D935" s="5"/>
      <c r="E935" s="4"/>
    </row>
    <row r="936" spans="1:5" ht="14.25" customHeight="1" x14ac:dyDescent="0.3">
      <c r="A936" s="4"/>
      <c r="B936" s="4"/>
      <c r="C936" s="4"/>
      <c r="D936" s="5"/>
      <c r="E936" s="4"/>
    </row>
    <row r="937" spans="1:5" ht="14.25" customHeight="1" x14ac:dyDescent="0.3">
      <c r="A937" s="4"/>
      <c r="B937" s="4"/>
      <c r="C937" s="4"/>
      <c r="D937" s="5"/>
      <c r="E937" s="4"/>
    </row>
    <row r="938" spans="1:5" ht="14.25" customHeight="1" x14ac:dyDescent="0.3">
      <c r="A938" s="4"/>
      <c r="B938" s="4"/>
      <c r="C938" s="4"/>
      <c r="D938" s="5"/>
      <c r="E938" s="4"/>
    </row>
    <row r="939" spans="1:5" ht="14.25" customHeight="1" x14ac:dyDescent="0.3">
      <c r="A939" s="4"/>
      <c r="B939" s="4"/>
      <c r="C939" s="4"/>
      <c r="D939" s="5"/>
      <c r="E939" s="4"/>
    </row>
    <row r="940" spans="1:5" ht="14.25" customHeight="1" x14ac:dyDescent="0.3">
      <c r="A940" s="4"/>
      <c r="B940" s="4"/>
      <c r="C940" s="4"/>
      <c r="D940" s="5"/>
      <c r="E940" s="4"/>
    </row>
    <row r="941" spans="1:5" ht="14.25" customHeight="1" x14ac:dyDescent="0.3">
      <c r="A941" s="4"/>
      <c r="B941" s="4"/>
      <c r="C941" s="4"/>
      <c r="D941" s="5"/>
      <c r="E941" s="4"/>
    </row>
    <row r="942" spans="1:5" ht="14.25" customHeight="1" x14ac:dyDescent="0.3">
      <c r="A942" s="4"/>
      <c r="B942" s="4"/>
      <c r="C942" s="4"/>
      <c r="D942" s="5"/>
      <c r="E942" s="4"/>
    </row>
    <row r="943" spans="1:5" ht="14.25" customHeight="1" x14ac:dyDescent="0.3">
      <c r="A943" s="4"/>
      <c r="B943" s="4"/>
      <c r="C943" s="4"/>
      <c r="D943" s="5"/>
      <c r="E943" s="4"/>
    </row>
    <row r="944" spans="1:5" ht="14.25" customHeight="1" x14ac:dyDescent="0.3">
      <c r="A944" s="4"/>
      <c r="B944" s="4"/>
      <c r="C944" s="4"/>
      <c r="D944" s="5"/>
      <c r="E944" s="4"/>
    </row>
    <row r="945" spans="1:5" ht="14.25" customHeight="1" x14ac:dyDescent="0.3">
      <c r="A945" s="4"/>
      <c r="B945" s="4"/>
      <c r="C945" s="4"/>
      <c r="D945" s="5"/>
      <c r="E945" s="4"/>
    </row>
    <row r="946" spans="1:5" ht="14.25" customHeight="1" x14ac:dyDescent="0.3">
      <c r="A946" s="4"/>
      <c r="B946" s="4"/>
      <c r="C946" s="4"/>
      <c r="D946" s="5"/>
      <c r="E946" s="4"/>
    </row>
    <row r="947" spans="1:5" ht="14.25" customHeight="1" x14ac:dyDescent="0.3">
      <c r="A947" s="4"/>
      <c r="B947" s="4"/>
      <c r="C947" s="4"/>
      <c r="D947" s="5"/>
      <c r="E947" s="4"/>
    </row>
    <row r="948" spans="1:5" ht="14.25" customHeight="1" x14ac:dyDescent="0.3">
      <c r="A948" s="4"/>
      <c r="B948" s="4"/>
      <c r="C948" s="4"/>
      <c r="D948" s="5"/>
      <c r="E948" s="4"/>
    </row>
    <row r="949" spans="1:5" ht="14.25" customHeight="1" x14ac:dyDescent="0.3">
      <c r="A949" s="4"/>
      <c r="B949" s="4"/>
      <c r="C949" s="4"/>
      <c r="D949" s="5"/>
      <c r="E949" s="4"/>
    </row>
    <row r="950" spans="1:5" ht="14.25" customHeight="1" x14ac:dyDescent="0.3">
      <c r="A950" s="4"/>
      <c r="B950" s="4"/>
      <c r="C950" s="4"/>
      <c r="D950" s="5"/>
      <c r="E950" s="4"/>
    </row>
    <row r="951" spans="1:5" ht="14.25" customHeight="1" x14ac:dyDescent="0.3">
      <c r="A951" s="4"/>
      <c r="B951" s="4"/>
      <c r="C951" s="4"/>
      <c r="D951" s="5"/>
      <c r="E951" s="4"/>
    </row>
    <row r="952" spans="1:5" ht="14.25" customHeight="1" x14ac:dyDescent="0.3">
      <c r="A952" s="4"/>
      <c r="B952" s="4"/>
      <c r="C952" s="4"/>
      <c r="D952" s="5"/>
      <c r="E952" s="4"/>
    </row>
    <row r="953" spans="1:5" ht="14.25" customHeight="1" x14ac:dyDescent="0.3">
      <c r="A953" s="4"/>
      <c r="B953" s="4"/>
      <c r="C953" s="4"/>
      <c r="D953" s="5"/>
      <c r="E953" s="4"/>
    </row>
    <row r="954" spans="1:5" ht="14.25" customHeight="1" x14ac:dyDescent="0.3">
      <c r="A954" s="4"/>
      <c r="B954" s="4"/>
      <c r="C954" s="4"/>
      <c r="D954" s="5"/>
      <c r="E954" s="4"/>
    </row>
    <row r="955" spans="1:5" ht="14.25" customHeight="1" x14ac:dyDescent="0.3">
      <c r="A955" s="4"/>
      <c r="B955" s="4"/>
      <c r="C955" s="4"/>
      <c r="D955" s="5"/>
      <c r="E955" s="4"/>
    </row>
    <row r="956" spans="1:5" ht="14.25" customHeight="1" x14ac:dyDescent="0.3">
      <c r="A956" s="4"/>
      <c r="B956" s="4"/>
      <c r="C956" s="4"/>
      <c r="D956" s="5"/>
      <c r="E956" s="4"/>
    </row>
    <row r="957" spans="1:5" ht="14.25" customHeight="1" x14ac:dyDescent="0.3">
      <c r="A957" s="4"/>
      <c r="B957" s="4"/>
      <c r="C957" s="4"/>
      <c r="D957" s="5"/>
      <c r="E957" s="4"/>
    </row>
    <row r="958" spans="1:5" ht="14.25" customHeight="1" x14ac:dyDescent="0.3">
      <c r="A958" s="4"/>
      <c r="B958" s="4"/>
      <c r="C958" s="4"/>
      <c r="D958" s="5"/>
      <c r="E958" s="4"/>
    </row>
    <row r="959" spans="1:5" ht="14.25" customHeight="1" x14ac:dyDescent="0.3">
      <c r="A959" s="4"/>
      <c r="B959" s="4"/>
      <c r="C959" s="4"/>
      <c r="D959" s="5"/>
      <c r="E959" s="4"/>
    </row>
    <row r="960" spans="1:5" ht="14.25" customHeight="1" x14ac:dyDescent="0.3">
      <c r="A960" s="4"/>
      <c r="B960" s="4"/>
      <c r="C960" s="4"/>
      <c r="D960" s="5"/>
      <c r="E960" s="4"/>
    </row>
    <row r="961" spans="1:5" ht="14.25" customHeight="1" x14ac:dyDescent="0.3">
      <c r="A961" s="4"/>
      <c r="B961" s="4"/>
      <c r="C961" s="4"/>
      <c r="D961" s="5"/>
      <c r="E961" s="4"/>
    </row>
    <row r="962" spans="1:5" ht="14.25" customHeight="1" x14ac:dyDescent="0.3">
      <c r="A962" s="4"/>
      <c r="B962" s="4"/>
      <c r="C962" s="4"/>
      <c r="D962" s="5"/>
      <c r="E962" s="4"/>
    </row>
    <row r="963" spans="1:5" ht="14.25" customHeight="1" x14ac:dyDescent="0.3">
      <c r="A963" s="4"/>
      <c r="B963" s="4"/>
      <c r="C963" s="4"/>
      <c r="D963" s="5"/>
      <c r="E963" s="4"/>
    </row>
    <row r="964" spans="1:5" ht="14.25" customHeight="1" x14ac:dyDescent="0.3">
      <c r="A964" s="4"/>
      <c r="B964" s="4"/>
      <c r="C964" s="4"/>
      <c r="D964" s="5"/>
      <c r="E964" s="4"/>
    </row>
    <row r="965" spans="1:5" ht="14.25" customHeight="1" x14ac:dyDescent="0.3">
      <c r="A965" s="4"/>
      <c r="B965" s="4"/>
      <c r="C965" s="4"/>
      <c r="D965" s="5"/>
      <c r="E965" s="4"/>
    </row>
    <row r="966" spans="1:5" ht="14.25" customHeight="1" x14ac:dyDescent="0.3">
      <c r="A966" s="4"/>
      <c r="B966" s="4"/>
      <c r="C966" s="4"/>
      <c r="D966" s="5"/>
      <c r="E966" s="4"/>
    </row>
    <row r="967" spans="1:5" ht="14.25" customHeight="1" x14ac:dyDescent="0.3">
      <c r="A967" s="4"/>
      <c r="B967" s="4"/>
      <c r="C967" s="4"/>
      <c r="D967" s="5"/>
      <c r="E967" s="4"/>
    </row>
    <row r="968" spans="1:5" ht="14.25" customHeight="1" x14ac:dyDescent="0.3">
      <c r="A968" s="4"/>
      <c r="B968" s="4"/>
      <c r="C968" s="4"/>
      <c r="D968" s="5"/>
      <c r="E968" s="4"/>
    </row>
    <row r="969" spans="1:5" ht="14.25" customHeight="1" x14ac:dyDescent="0.3">
      <c r="A969" s="4"/>
      <c r="B969" s="4"/>
      <c r="C969" s="4"/>
      <c r="D969" s="5"/>
      <c r="E969" s="4"/>
    </row>
    <row r="970" spans="1:5" ht="14.25" customHeight="1" x14ac:dyDescent="0.3">
      <c r="A970" s="4"/>
      <c r="B970" s="4"/>
      <c r="C970" s="4"/>
      <c r="D970" s="5"/>
      <c r="E970" s="4"/>
    </row>
    <row r="971" spans="1:5" ht="14.25" customHeight="1" x14ac:dyDescent="0.3">
      <c r="A971" s="4"/>
      <c r="B971" s="4"/>
      <c r="C971" s="4"/>
      <c r="D971" s="5"/>
      <c r="E971" s="4"/>
    </row>
    <row r="972" spans="1:5" ht="14.25" customHeight="1" x14ac:dyDescent="0.3">
      <c r="A972" s="4"/>
      <c r="B972" s="4"/>
      <c r="C972" s="4"/>
      <c r="D972" s="5"/>
      <c r="E972" s="4"/>
    </row>
    <row r="973" spans="1:5" ht="14.25" customHeight="1" x14ac:dyDescent="0.3">
      <c r="A973" s="4"/>
      <c r="B973" s="4"/>
      <c r="C973" s="4"/>
      <c r="D973" s="5"/>
      <c r="E973" s="4"/>
    </row>
    <row r="974" spans="1:5" ht="14.25" customHeight="1" x14ac:dyDescent="0.3">
      <c r="A974" s="4"/>
      <c r="B974" s="4"/>
      <c r="C974" s="4"/>
      <c r="D974" s="5"/>
      <c r="E974" s="4"/>
    </row>
    <row r="975" spans="1:5" ht="14.25" customHeight="1" x14ac:dyDescent="0.3">
      <c r="A975" s="4"/>
      <c r="B975" s="4"/>
      <c r="C975" s="4"/>
      <c r="D975" s="5"/>
      <c r="E975" s="4"/>
    </row>
    <row r="976" spans="1:5" ht="14.25" customHeight="1" x14ac:dyDescent="0.3">
      <c r="A976" s="4"/>
      <c r="B976" s="4"/>
      <c r="C976" s="4"/>
      <c r="D976" s="5"/>
      <c r="E976" s="4"/>
    </row>
    <row r="977" spans="1:5" ht="14.25" customHeight="1" x14ac:dyDescent="0.3">
      <c r="A977" s="4"/>
      <c r="B977" s="4"/>
      <c r="C977" s="4"/>
      <c r="D977" s="5"/>
      <c r="E977" s="4"/>
    </row>
    <row r="978" spans="1:5" ht="14.25" customHeight="1" x14ac:dyDescent="0.3">
      <c r="A978" s="4"/>
      <c r="B978" s="4"/>
      <c r="C978" s="4"/>
      <c r="D978" s="5"/>
      <c r="E978" s="4"/>
    </row>
    <row r="979" spans="1:5" ht="14.25" customHeight="1" x14ac:dyDescent="0.3">
      <c r="A979" s="4"/>
      <c r="B979" s="4"/>
      <c r="C979" s="4"/>
      <c r="D979" s="5"/>
      <c r="E979" s="4"/>
    </row>
    <row r="980" spans="1:5" ht="14.25" customHeight="1" x14ac:dyDescent="0.3">
      <c r="A980" s="4"/>
      <c r="B980" s="4"/>
      <c r="C980" s="4"/>
      <c r="D980" s="5"/>
      <c r="E980" s="4"/>
    </row>
    <row r="981" spans="1:5" ht="14.25" customHeight="1" x14ac:dyDescent="0.3">
      <c r="A981" s="4"/>
      <c r="B981" s="4"/>
      <c r="C981" s="4"/>
      <c r="D981" s="5"/>
      <c r="E981" s="4"/>
    </row>
    <row r="982" spans="1:5" ht="14.25" customHeight="1" x14ac:dyDescent="0.3">
      <c r="A982" s="4"/>
      <c r="B982" s="4"/>
      <c r="C982" s="4"/>
      <c r="D982" s="5"/>
      <c r="E982" s="4"/>
    </row>
    <row r="983" spans="1:5" ht="14.25" customHeight="1" x14ac:dyDescent="0.3">
      <c r="A983" s="4"/>
      <c r="B983" s="4"/>
      <c r="C983" s="4"/>
      <c r="D983" s="5"/>
      <c r="E983" s="4"/>
    </row>
    <row r="984" spans="1:5" ht="14.25" customHeight="1" x14ac:dyDescent="0.3">
      <c r="A984" s="4"/>
      <c r="B984" s="4"/>
      <c r="C984" s="4"/>
      <c r="D984" s="5"/>
      <c r="E984" s="4"/>
    </row>
    <row r="985" spans="1:5" ht="14.25" customHeight="1" x14ac:dyDescent="0.3">
      <c r="A985" s="4"/>
      <c r="B985" s="4"/>
      <c r="C985" s="4"/>
      <c r="D985" s="5"/>
      <c r="E985" s="4"/>
    </row>
    <row r="986" spans="1:5" ht="14.25" customHeight="1" x14ac:dyDescent="0.3">
      <c r="A986" s="4"/>
      <c r="B986" s="4"/>
      <c r="C986" s="4"/>
      <c r="D986" s="5"/>
      <c r="E986" s="4"/>
    </row>
    <row r="987" spans="1:5" ht="14.25" customHeight="1" x14ac:dyDescent="0.3">
      <c r="A987" s="4"/>
      <c r="B987" s="4"/>
      <c r="C987" s="4"/>
      <c r="D987" s="5"/>
      <c r="E987" s="4"/>
    </row>
    <row r="988" spans="1:5" ht="14.25" customHeight="1" x14ac:dyDescent="0.3">
      <c r="A988" s="4"/>
      <c r="B988" s="4"/>
      <c r="C988" s="4"/>
      <c r="D988" s="5"/>
      <c r="E988" s="4"/>
    </row>
    <row r="989" spans="1:5" ht="14.25" customHeight="1" x14ac:dyDescent="0.3">
      <c r="A989" s="4"/>
      <c r="B989" s="4"/>
      <c r="C989" s="4"/>
      <c r="D989" s="5"/>
      <c r="E989" s="4"/>
    </row>
    <row r="990" spans="1:5" ht="14.25" customHeight="1" x14ac:dyDescent="0.3">
      <c r="A990" s="4"/>
      <c r="B990" s="4"/>
      <c r="C990" s="4"/>
      <c r="D990" s="5"/>
      <c r="E990" s="4"/>
    </row>
    <row r="991" spans="1:5" ht="14.25" customHeight="1" x14ac:dyDescent="0.3">
      <c r="A991" s="4"/>
      <c r="B991" s="4"/>
      <c r="C991" s="4"/>
      <c r="D991" s="5"/>
      <c r="E991" s="4"/>
    </row>
    <row r="992" spans="1:5" ht="14.25" customHeight="1" x14ac:dyDescent="0.3">
      <c r="A992" s="4"/>
      <c r="B992" s="4"/>
      <c r="C992" s="4"/>
      <c r="D992" s="5"/>
      <c r="E992" s="4"/>
    </row>
    <row r="993" spans="1:5" ht="14.25" customHeight="1" x14ac:dyDescent="0.3">
      <c r="A993" s="4"/>
      <c r="B993" s="4"/>
      <c r="C993" s="4"/>
      <c r="D993" s="5"/>
      <c r="E993" s="4"/>
    </row>
    <row r="994" spans="1:5" ht="14.25" customHeight="1" x14ac:dyDescent="0.3">
      <c r="A994" s="4"/>
      <c r="B994" s="4"/>
      <c r="C994" s="4"/>
      <c r="D994" s="5"/>
      <c r="E994" s="4"/>
    </row>
    <row r="995" spans="1:5" ht="14.25" customHeight="1" x14ac:dyDescent="0.3">
      <c r="A995" s="4"/>
      <c r="B995" s="4"/>
      <c r="C995" s="4"/>
      <c r="D995" s="5"/>
      <c r="E995" s="4"/>
    </row>
    <row r="996" spans="1:5" ht="14.25" customHeight="1" x14ac:dyDescent="0.3">
      <c r="A996" s="4"/>
      <c r="B996" s="4"/>
      <c r="C996" s="4"/>
      <c r="D996" s="5"/>
      <c r="E996" s="4"/>
    </row>
    <row r="997" spans="1:5" ht="14.25" customHeight="1" x14ac:dyDescent="0.3">
      <c r="A997" s="4"/>
      <c r="B997" s="4"/>
      <c r="C997" s="4"/>
      <c r="D997" s="5"/>
      <c r="E997" s="4"/>
    </row>
    <row r="998" spans="1:5" ht="14.25" customHeight="1" x14ac:dyDescent="0.3">
      <c r="A998" s="4"/>
      <c r="B998" s="4"/>
      <c r="C998" s="4"/>
      <c r="D998" s="5"/>
      <c r="E998" s="4"/>
    </row>
    <row r="999" spans="1:5" ht="14.25" customHeight="1" x14ac:dyDescent="0.3">
      <c r="A999" s="4"/>
      <c r="B999" s="4"/>
      <c r="C999" s="4"/>
      <c r="D999" s="5"/>
      <c r="E999" s="4"/>
    </row>
    <row r="1000" spans="1:5" ht="14.25" customHeight="1" x14ac:dyDescent="0.3">
      <c r="A1000" s="4"/>
      <c r="B1000" s="4"/>
      <c r="C1000" s="4"/>
      <c r="D1000" s="5"/>
      <c r="E1000" s="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4140625" defaultRowHeight="15" customHeight="1" x14ac:dyDescent="0.3"/>
  <sheetData>
    <row r="1" spans="1:26" x14ac:dyDescent="0.3">
      <c r="A1" s="1" t="s">
        <v>5</v>
      </c>
      <c r="B1" s="1" t="s">
        <v>244</v>
      </c>
      <c r="C1" s="10"/>
      <c r="D1" s="10"/>
      <c r="E1" s="10"/>
      <c r="F1" s="10"/>
      <c r="G1" s="10"/>
      <c r="H1" s="10"/>
      <c r="I1" s="10"/>
      <c r="J1" s="10"/>
      <c r="K1" s="10"/>
      <c r="L1" s="10"/>
      <c r="M1" s="10"/>
      <c r="N1" s="10"/>
      <c r="O1" s="10"/>
      <c r="P1" s="10"/>
      <c r="Q1" s="10"/>
      <c r="R1" s="10"/>
      <c r="S1" s="10"/>
      <c r="T1" s="10"/>
      <c r="U1" s="10"/>
      <c r="V1" s="10"/>
      <c r="W1" s="10"/>
      <c r="X1" s="10"/>
      <c r="Y1" s="10"/>
      <c r="Z1" s="10"/>
    </row>
    <row r="2" spans="1:26" x14ac:dyDescent="0.3">
      <c r="A2" s="2" t="s">
        <v>41</v>
      </c>
      <c r="B2" s="11">
        <v>97500</v>
      </c>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2" t="s">
        <v>21</v>
      </c>
      <c r="B3" s="11">
        <v>50500</v>
      </c>
      <c r="C3" s="10"/>
      <c r="D3" s="10"/>
      <c r="E3" s="10"/>
      <c r="F3" s="10"/>
      <c r="G3" s="10"/>
      <c r="H3" s="10"/>
      <c r="I3" s="10"/>
      <c r="J3" s="10"/>
      <c r="K3" s="10"/>
      <c r="L3" s="10"/>
      <c r="M3" s="10"/>
      <c r="N3" s="10"/>
      <c r="O3" s="10"/>
      <c r="P3" s="10"/>
      <c r="Q3" s="10"/>
      <c r="R3" s="10"/>
      <c r="S3" s="10"/>
      <c r="T3" s="10"/>
      <c r="U3" s="10"/>
      <c r="V3" s="10"/>
      <c r="W3" s="10"/>
      <c r="X3" s="10"/>
      <c r="Y3" s="10"/>
      <c r="Z3" s="10"/>
    </row>
    <row r="4" spans="1:26" x14ac:dyDescent="0.3">
      <c r="A4" s="2" t="s">
        <v>15</v>
      </c>
      <c r="B4" s="11">
        <v>105000</v>
      </c>
      <c r="C4" s="10"/>
      <c r="D4" s="10"/>
      <c r="E4" s="10"/>
      <c r="F4" s="10"/>
      <c r="G4" s="10"/>
      <c r="H4" s="10"/>
      <c r="I4" s="10"/>
      <c r="J4" s="10"/>
      <c r="K4" s="10"/>
      <c r="L4" s="10"/>
      <c r="M4" s="10"/>
      <c r="N4" s="10"/>
      <c r="O4" s="10"/>
      <c r="P4" s="10"/>
      <c r="Q4" s="10"/>
      <c r="R4" s="10"/>
      <c r="S4" s="10"/>
      <c r="T4" s="10"/>
      <c r="U4" s="10"/>
      <c r="V4" s="10"/>
      <c r="W4" s="10"/>
      <c r="X4" s="10"/>
      <c r="Y4" s="10"/>
      <c r="Z4" s="10"/>
    </row>
    <row r="5" spans="1:26" x14ac:dyDescent="0.3">
      <c r="A5" s="2" t="s">
        <v>25</v>
      </c>
      <c r="B5" s="11">
        <v>91500</v>
      </c>
      <c r="C5" s="10"/>
      <c r="D5" s="10"/>
      <c r="E5" s="10"/>
      <c r="F5" s="10"/>
      <c r="G5" s="10"/>
      <c r="H5" s="10"/>
      <c r="I5" s="10"/>
      <c r="J5" s="10"/>
      <c r="K5" s="10"/>
      <c r="L5" s="10"/>
      <c r="M5" s="10"/>
      <c r="N5" s="10"/>
      <c r="O5" s="10"/>
      <c r="P5" s="10"/>
      <c r="Q5" s="10"/>
      <c r="R5" s="10"/>
      <c r="S5" s="10"/>
      <c r="T5" s="10"/>
      <c r="U5" s="10"/>
      <c r="V5" s="10"/>
      <c r="W5" s="10"/>
      <c r="X5" s="10"/>
      <c r="Y5" s="10"/>
      <c r="Z5" s="10"/>
    </row>
    <row r="6" spans="1:26" x14ac:dyDescent="0.3">
      <c r="A6" s="2" t="s">
        <v>46</v>
      </c>
      <c r="B6" s="11">
        <v>90750</v>
      </c>
      <c r="C6" s="10"/>
      <c r="F6" s="10"/>
      <c r="G6" s="10"/>
      <c r="H6" s="10"/>
      <c r="I6" s="10"/>
      <c r="J6" s="10"/>
      <c r="K6" s="10"/>
      <c r="L6" s="10"/>
      <c r="M6" s="10"/>
      <c r="N6" s="10"/>
      <c r="O6" s="10"/>
      <c r="P6" s="10"/>
      <c r="Q6" s="10"/>
      <c r="R6" s="10"/>
      <c r="S6" s="10"/>
      <c r="T6" s="10"/>
      <c r="U6" s="10"/>
      <c r="V6" s="10"/>
      <c r="W6" s="10"/>
      <c r="X6" s="10"/>
      <c r="Y6" s="10"/>
      <c r="Z6" s="10"/>
    </row>
    <row r="7" spans="1:26" x14ac:dyDescent="0.3">
      <c r="A7" s="10"/>
      <c r="B7" s="10"/>
      <c r="C7" s="10"/>
      <c r="F7" s="10"/>
      <c r="G7" s="10"/>
      <c r="H7" s="10"/>
      <c r="I7" s="10"/>
      <c r="J7" s="10"/>
      <c r="K7" s="10"/>
      <c r="L7" s="10"/>
      <c r="M7" s="10"/>
      <c r="N7" s="10"/>
      <c r="O7" s="10"/>
      <c r="P7" s="10"/>
      <c r="Q7" s="10"/>
      <c r="R7" s="10"/>
      <c r="S7" s="10"/>
      <c r="T7" s="10"/>
      <c r="U7" s="10"/>
      <c r="V7" s="10"/>
      <c r="W7" s="10"/>
      <c r="X7" s="10"/>
      <c r="Y7" s="10"/>
      <c r="Z7" s="10"/>
    </row>
    <row r="8" spans="1:26" x14ac:dyDescent="0.3">
      <c r="A8" s="10"/>
      <c r="B8" s="10"/>
      <c r="C8" s="10"/>
      <c r="F8" s="10"/>
      <c r="G8" s="10"/>
      <c r="H8" s="10"/>
      <c r="I8" s="10"/>
      <c r="J8" s="10"/>
      <c r="K8" s="10"/>
      <c r="L8" s="10"/>
      <c r="M8" s="10"/>
      <c r="N8" s="10"/>
      <c r="O8" s="10"/>
      <c r="P8" s="10"/>
      <c r="Q8" s="10"/>
      <c r="R8" s="10"/>
      <c r="S8" s="10"/>
      <c r="T8" s="10"/>
      <c r="U8" s="10"/>
      <c r="V8" s="10"/>
      <c r="W8" s="10"/>
      <c r="X8" s="10"/>
      <c r="Y8" s="10"/>
      <c r="Z8" s="10"/>
    </row>
    <row r="9" spans="1:26" x14ac:dyDescent="0.3">
      <c r="A9" s="10"/>
      <c r="B9" s="10"/>
      <c r="C9" s="10"/>
      <c r="F9" s="10"/>
      <c r="G9" s="10"/>
      <c r="H9" s="10"/>
      <c r="I9" s="10"/>
      <c r="J9" s="10"/>
      <c r="K9" s="10"/>
      <c r="L9" s="10"/>
      <c r="M9" s="10"/>
      <c r="N9" s="10"/>
      <c r="O9" s="10"/>
      <c r="P9" s="10"/>
      <c r="Q9" s="10"/>
      <c r="R9" s="10"/>
      <c r="S9" s="10"/>
      <c r="T9" s="10"/>
      <c r="U9" s="10"/>
      <c r="V9" s="10"/>
      <c r="W9" s="10"/>
      <c r="X9" s="10"/>
      <c r="Y9" s="10"/>
      <c r="Z9" s="10"/>
    </row>
    <row r="10" spans="1:26" x14ac:dyDescent="0.3">
      <c r="A10" s="10"/>
      <c r="B10" s="10"/>
      <c r="C10" s="10"/>
      <c r="F10" s="10"/>
      <c r="G10" s="10"/>
      <c r="H10" s="10"/>
      <c r="I10" s="10"/>
      <c r="J10" s="10"/>
      <c r="K10" s="10"/>
      <c r="L10" s="10"/>
      <c r="M10" s="10"/>
      <c r="N10" s="10"/>
      <c r="O10" s="10"/>
      <c r="P10" s="10"/>
      <c r="Q10" s="10"/>
      <c r="R10" s="10"/>
      <c r="S10" s="10"/>
      <c r="T10" s="10"/>
      <c r="U10" s="10"/>
      <c r="V10" s="10"/>
      <c r="W10" s="10"/>
      <c r="X10" s="10"/>
      <c r="Y10" s="10"/>
      <c r="Z10" s="10"/>
    </row>
    <row r="11" spans="1:26"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3">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3">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3">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3">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3">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3">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3">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3">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3">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3">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3">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3">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3">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3">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3">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3">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3">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3">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3">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3">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3">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3">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3">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3">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3">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3">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3">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3">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3">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3">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3">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3">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3">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3">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3">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3">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3">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3">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3">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3">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3">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3">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3">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3">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3">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3">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3">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3">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3">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3">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3">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3">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3">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3">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3">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3">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3">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3">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3">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3">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3">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3">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3">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3">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3">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3">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3">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3">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3">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3">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3">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3">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3">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3">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3">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3">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3">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3">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3">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3">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3">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3">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3">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3">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3">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3">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3">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3">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3">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3">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3">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3">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3">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3">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3">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3">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3">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3">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3">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3">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3">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3">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3">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3">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3">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3">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3">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3">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3">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3">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3">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3">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3">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3">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3">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3">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3">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3">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3">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3">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3">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3">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3">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3">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3">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3">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3">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3">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3">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3">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3">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3">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3">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3">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3">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3">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3">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3">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3">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3">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3">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3">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3">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3">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3">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3">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3">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3">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3">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3">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3">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3">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3">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3">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3">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3">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3">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3">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3">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3">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3">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3">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3">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3">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3">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3">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3">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3">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3">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3">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3">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3">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3">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3">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3">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3">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3">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3">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3">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3">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3">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3">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3">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3">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3">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3">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3">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3">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3">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3">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3">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3">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3">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3">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3">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3">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3">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3">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3">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3">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3">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3">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3">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3">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3">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3">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3">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3">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3">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3">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3">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3">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3">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3">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3">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3">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3">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3">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3">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3">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3">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3">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3">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3">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3">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3">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3">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3">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3">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3">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3">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3">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3">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3">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3">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3">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3">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3">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3">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3">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3">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3">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3">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3">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3">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3">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3">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3">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3">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3">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3">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3">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3">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3">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3">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3">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3">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3">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3">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3">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3">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3">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3">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3">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3">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3">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3">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3">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3">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3">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3">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3">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3">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3">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3">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3">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3">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3">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3">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3">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3">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3">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3">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3">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3">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3">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3">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3">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3">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3">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3">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3">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3">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3">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3">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3">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3">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3">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3">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3">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3">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3">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3">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3">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3">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3">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3">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3">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3">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3">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3">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3">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3">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3">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3">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3">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3">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3">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3">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3">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3">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3">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3">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3">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3">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3">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3">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3">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3">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3">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3">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3">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3">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3">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3">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3">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3">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3">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3">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3">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3">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3">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3">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3">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4140625" defaultRowHeight="15" customHeight="1" x14ac:dyDescent="0.3"/>
  <cols>
    <col min="1" max="1" width="12.6640625" customWidth="1"/>
    <col min="2" max="2" width="16" customWidth="1"/>
    <col min="3" max="3" width="15.109375" customWidth="1"/>
    <col min="4" max="4" width="13.44140625" customWidth="1"/>
    <col min="5" max="5" width="12" customWidth="1"/>
    <col min="6" max="26" width="8.6640625" customWidth="1"/>
  </cols>
  <sheetData>
    <row r="1" spans="1:26" ht="18" customHeight="1" x14ac:dyDescent="0.3">
      <c r="A1" s="6" t="s">
        <v>3</v>
      </c>
      <c r="B1" s="6" t="s">
        <v>245</v>
      </c>
      <c r="C1" s="6" t="s">
        <v>246</v>
      </c>
      <c r="D1" s="6" t="s">
        <v>247</v>
      </c>
      <c r="E1" s="6" t="s">
        <v>248</v>
      </c>
      <c r="F1" s="4"/>
      <c r="G1" s="4"/>
      <c r="H1" s="4"/>
      <c r="I1" s="4"/>
      <c r="J1" s="4"/>
      <c r="K1" s="4"/>
      <c r="L1" s="4"/>
      <c r="M1" s="4"/>
      <c r="N1" s="4"/>
      <c r="O1" s="4"/>
      <c r="P1" s="4"/>
      <c r="Q1" s="4"/>
      <c r="R1" s="4"/>
      <c r="S1" s="4"/>
      <c r="T1" s="4"/>
      <c r="U1" s="4"/>
      <c r="V1" s="4"/>
      <c r="W1" s="4"/>
      <c r="X1" s="4"/>
      <c r="Y1" s="4"/>
      <c r="Z1" s="4"/>
    </row>
    <row r="2" spans="1:26" ht="18" customHeight="1" x14ac:dyDescent="0.3">
      <c r="A2" s="8" t="s">
        <v>117</v>
      </c>
      <c r="B2" s="8" t="s">
        <v>249</v>
      </c>
      <c r="C2" s="8" t="s">
        <v>250</v>
      </c>
      <c r="D2" s="8" t="s">
        <v>251</v>
      </c>
      <c r="E2" s="8" t="s">
        <v>251</v>
      </c>
    </row>
    <row r="3" spans="1:26" ht="18" customHeight="1" x14ac:dyDescent="0.3">
      <c r="A3" s="8" t="s">
        <v>252</v>
      </c>
      <c r="B3" s="8" t="s">
        <v>253</v>
      </c>
      <c r="C3" s="8" t="s">
        <v>254</v>
      </c>
      <c r="D3" s="8" t="s">
        <v>255</v>
      </c>
      <c r="E3" s="8" t="s">
        <v>256</v>
      </c>
    </row>
    <row r="4" spans="1:26" ht="18" customHeight="1" x14ac:dyDescent="0.3">
      <c r="A4" s="8" t="s">
        <v>139</v>
      </c>
      <c r="B4" s="8" t="s">
        <v>257</v>
      </c>
      <c r="C4" s="8" t="s">
        <v>254</v>
      </c>
      <c r="D4" s="8" t="s">
        <v>258</v>
      </c>
      <c r="E4" s="8" t="s">
        <v>259</v>
      </c>
    </row>
    <row r="5" spans="1:26" ht="18" customHeight="1" x14ac:dyDescent="0.3">
      <c r="A5" s="8" t="s">
        <v>146</v>
      </c>
      <c r="B5" s="8" t="s">
        <v>260</v>
      </c>
      <c r="C5" s="8" t="s">
        <v>254</v>
      </c>
      <c r="D5" s="8" t="s">
        <v>261</v>
      </c>
      <c r="E5" s="8" t="s">
        <v>262</v>
      </c>
    </row>
    <row r="6" spans="1:26" ht="18" customHeight="1" x14ac:dyDescent="0.3">
      <c r="A6" s="8" t="s">
        <v>263</v>
      </c>
      <c r="B6" s="8" t="s">
        <v>264</v>
      </c>
      <c r="C6" s="8" t="s">
        <v>254</v>
      </c>
      <c r="D6" s="8" t="s">
        <v>255</v>
      </c>
      <c r="E6" s="8" t="s">
        <v>256</v>
      </c>
    </row>
    <row r="7" spans="1:26" ht="18" customHeight="1" x14ac:dyDescent="0.3">
      <c r="A7" s="8" t="s">
        <v>114</v>
      </c>
      <c r="B7" s="8" t="s">
        <v>265</v>
      </c>
      <c r="C7" s="8" t="s">
        <v>254</v>
      </c>
      <c r="D7" s="8" t="s">
        <v>266</v>
      </c>
      <c r="E7" s="8" t="s">
        <v>267</v>
      </c>
    </row>
    <row r="8" spans="1:26" ht="18" customHeight="1" x14ac:dyDescent="0.3">
      <c r="A8" s="8" t="s">
        <v>93</v>
      </c>
      <c r="B8" s="8" t="s">
        <v>268</v>
      </c>
      <c r="C8" s="8" t="s">
        <v>254</v>
      </c>
      <c r="D8" s="8" t="s">
        <v>261</v>
      </c>
      <c r="E8" s="8" t="s">
        <v>262</v>
      </c>
    </row>
    <row r="9" spans="1:26" ht="18" customHeight="1" x14ac:dyDescent="0.3">
      <c r="A9" s="8" t="s">
        <v>95</v>
      </c>
      <c r="B9" s="8" t="s">
        <v>269</v>
      </c>
      <c r="C9" s="8" t="s">
        <v>250</v>
      </c>
      <c r="D9" s="8" t="s">
        <v>270</v>
      </c>
      <c r="E9" s="8" t="s">
        <v>259</v>
      </c>
    </row>
    <row r="10" spans="1:26" ht="18" customHeight="1" x14ac:dyDescent="0.3">
      <c r="A10" s="8" t="s">
        <v>36</v>
      </c>
      <c r="B10" s="8" t="s">
        <v>271</v>
      </c>
      <c r="C10" s="8" t="s">
        <v>250</v>
      </c>
      <c r="D10" s="8" t="s">
        <v>255</v>
      </c>
      <c r="E10" s="8" t="s">
        <v>256</v>
      </c>
    </row>
    <row r="11" spans="1:26" ht="18" customHeight="1" x14ac:dyDescent="0.3">
      <c r="A11" s="8" t="s">
        <v>272</v>
      </c>
      <c r="B11" s="8" t="s">
        <v>273</v>
      </c>
      <c r="C11" s="8" t="s">
        <v>254</v>
      </c>
      <c r="D11" s="8" t="s">
        <v>266</v>
      </c>
      <c r="E11" s="8" t="s">
        <v>267</v>
      </c>
    </row>
    <row r="12" spans="1:26" ht="18" customHeight="1" x14ac:dyDescent="0.3">
      <c r="A12" s="8" t="s">
        <v>71</v>
      </c>
      <c r="B12" s="8" t="s">
        <v>274</v>
      </c>
      <c r="C12" s="8" t="s">
        <v>250</v>
      </c>
      <c r="D12" s="8" t="s">
        <v>275</v>
      </c>
      <c r="E12" s="8" t="s">
        <v>276</v>
      </c>
    </row>
    <row r="13" spans="1:26" ht="18" customHeight="1" x14ac:dyDescent="0.3">
      <c r="A13" s="8" t="s">
        <v>277</v>
      </c>
      <c r="B13" s="8" t="s">
        <v>249</v>
      </c>
      <c r="C13" s="8" t="s">
        <v>278</v>
      </c>
      <c r="D13" s="8" t="s">
        <v>279</v>
      </c>
      <c r="E13" s="8" t="s">
        <v>280</v>
      </c>
    </row>
    <row r="14" spans="1:26" ht="18" customHeight="1" x14ac:dyDescent="0.3">
      <c r="A14" s="8" t="s">
        <v>48</v>
      </c>
      <c r="B14" s="8" t="s">
        <v>264</v>
      </c>
      <c r="C14" s="8" t="s">
        <v>254</v>
      </c>
      <c r="D14" s="8" t="s">
        <v>255</v>
      </c>
      <c r="E14" s="8" t="s">
        <v>256</v>
      </c>
    </row>
    <row r="15" spans="1:26" ht="18" customHeight="1" x14ac:dyDescent="0.3">
      <c r="A15" s="8" t="s">
        <v>97</v>
      </c>
      <c r="B15" s="8" t="s">
        <v>269</v>
      </c>
      <c r="C15" s="8" t="s">
        <v>278</v>
      </c>
      <c r="D15" s="8" t="s">
        <v>266</v>
      </c>
      <c r="E15" s="8" t="s">
        <v>267</v>
      </c>
    </row>
    <row r="16" spans="1:26" ht="18" customHeight="1" x14ac:dyDescent="0.3">
      <c r="A16" s="8" t="s">
        <v>170</v>
      </c>
      <c r="B16" s="8" t="s">
        <v>281</v>
      </c>
      <c r="C16" s="8" t="s">
        <v>278</v>
      </c>
      <c r="D16" s="8" t="s">
        <v>279</v>
      </c>
      <c r="E16" s="8" t="s">
        <v>280</v>
      </c>
    </row>
    <row r="17" spans="1:5" ht="18" customHeight="1" x14ac:dyDescent="0.3">
      <c r="A17" s="8" t="s">
        <v>81</v>
      </c>
      <c r="B17" s="8" t="s">
        <v>282</v>
      </c>
      <c r="C17" s="8" t="s">
        <v>254</v>
      </c>
      <c r="D17" s="8" t="s">
        <v>279</v>
      </c>
      <c r="E17" s="8" t="s">
        <v>280</v>
      </c>
    </row>
    <row r="18" spans="1:5" ht="18" customHeight="1" x14ac:dyDescent="0.3">
      <c r="A18" s="8" t="s">
        <v>135</v>
      </c>
      <c r="B18" s="8" t="s">
        <v>283</v>
      </c>
      <c r="C18" s="8" t="s">
        <v>250</v>
      </c>
      <c r="D18" s="8" t="s">
        <v>258</v>
      </c>
      <c r="E18" s="8" t="s">
        <v>259</v>
      </c>
    </row>
    <row r="19" spans="1:5" ht="18" customHeight="1" x14ac:dyDescent="0.3">
      <c r="A19" s="8" t="s">
        <v>90</v>
      </c>
      <c r="B19" s="8" t="s">
        <v>284</v>
      </c>
      <c r="C19" s="8" t="s">
        <v>278</v>
      </c>
      <c r="D19" s="8" t="s">
        <v>275</v>
      </c>
      <c r="E19" s="8" t="s">
        <v>276</v>
      </c>
    </row>
    <row r="20" spans="1:5" ht="18" customHeight="1" x14ac:dyDescent="0.3">
      <c r="A20" s="8" t="s">
        <v>44</v>
      </c>
      <c r="B20" s="8" t="s">
        <v>265</v>
      </c>
      <c r="C20" s="8" t="s">
        <v>254</v>
      </c>
      <c r="D20" s="8" t="s">
        <v>255</v>
      </c>
      <c r="E20" s="8" t="s">
        <v>256</v>
      </c>
    </row>
    <row r="21" spans="1:5" ht="18" customHeight="1" x14ac:dyDescent="0.3">
      <c r="A21" s="8" t="s">
        <v>285</v>
      </c>
      <c r="B21" s="8" t="s">
        <v>286</v>
      </c>
      <c r="C21" s="8" t="s">
        <v>278</v>
      </c>
      <c r="D21" s="8" t="s">
        <v>266</v>
      </c>
      <c r="E21" s="8" t="s">
        <v>267</v>
      </c>
    </row>
    <row r="22" spans="1:5" ht="18" customHeight="1" x14ac:dyDescent="0.3">
      <c r="A22" s="8" t="s">
        <v>13</v>
      </c>
      <c r="B22" s="8" t="s">
        <v>287</v>
      </c>
      <c r="C22" s="8" t="s">
        <v>278</v>
      </c>
      <c r="D22" s="8" t="s">
        <v>258</v>
      </c>
      <c r="E22" s="8" t="s">
        <v>259</v>
      </c>
    </row>
    <row r="23" spans="1:5" ht="18" customHeight="1" x14ac:dyDescent="0.3">
      <c r="A23" s="8" t="s">
        <v>144</v>
      </c>
      <c r="B23" s="8" t="s">
        <v>282</v>
      </c>
      <c r="C23" s="8" t="s">
        <v>278</v>
      </c>
      <c r="D23" s="8" t="s">
        <v>275</v>
      </c>
      <c r="E23" s="8" t="s">
        <v>276</v>
      </c>
    </row>
    <row r="24" spans="1:5" ht="18" customHeight="1" x14ac:dyDescent="0.3">
      <c r="A24" s="8" t="s">
        <v>59</v>
      </c>
      <c r="B24" s="8" t="s">
        <v>288</v>
      </c>
      <c r="C24" s="8" t="s">
        <v>278</v>
      </c>
      <c r="D24" s="8" t="s">
        <v>258</v>
      </c>
      <c r="E24" s="8" t="s">
        <v>259</v>
      </c>
    </row>
    <row r="25" spans="1:5" ht="18" customHeight="1" x14ac:dyDescent="0.3">
      <c r="A25" s="8" t="s">
        <v>112</v>
      </c>
      <c r="B25" s="8" t="s">
        <v>289</v>
      </c>
      <c r="C25" s="8" t="s">
        <v>250</v>
      </c>
      <c r="D25" s="8" t="s">
        <v>275</v>
      </c>
      <c r="E25" s="8" t="s">
        <v>276</v>
      </c>
    </row>
    <row r="26" spans="1:5" ht="18" customHeight="1" x14ac:dyDescent="0.3">
      <c r="A26" s="8" t="s">
        <v>76</v>
      </c>
      <c r="B26" s="8" t="s">
        <v>283</v>
      </c>
      <c r="C26" s="8" t="s">
        <v>278</v>
      </c>
      <c r="D26" s="8" t="s">
        <v>275</v>
      </c>
      <c r="E26" s="8" t="s">
        <v>276</v>
      </c>
    </row>
    <row r="27" spans="1:5" ht="18" customHeight="1" x14ac:dyDescent="0.3">
      <c r="A27" s="8" t="s">
        <v>127</v>
      </c>
      <c r="B27" s="8" t="s">
        <v>287</v>
      </c>
      <c r="C27" s="8" t="s">
        <v>278</v>
      </c>
      <c r="D27" s="8" t="s">
        <v>255</v>
      </c>
      <c r="E27" s="8" t="s">
        <v>256</v>
      </c>
    </row>
    <row r="28" spans="1:5" ht="18" customHeight="1" x14ac:dyDescent="0.3">
      <c r="A28" s="8" t="s">
        <v>32</v>
      </c>
      <c r="B28" s="8" t="s">
        <v>290</v>
      </c>
      <c r="C28" s="8" t="s">
        <v>278</v>
      </c>
      <c r="D28" s="8" t="s">
        <v>255</v>
      </c>
      <c r="E28" s="8" t="s">
        <v>256</v>
      </c>
    </row>
    <row r="29" spans="1:5" ht="18" customHeight="1" x14ac:dyDescent="0.3">
      <c r="A29" s="8" t="s">
        <v>83</v>
      </c>
      <c r="B29" s="8" t="s">
        <v>291</v>
      </c>
      <c r="C29" s="8" t="s">
        <v>250</v>
      </c>
      <c r="D29" s="8" t="s">
        <v>258</v>
      </c>
      <c r="E29" s="8" t="s">
        <v>259</v>
      </c>
    </row>
    <row r="30" spans="1:5" ht="18" customHeight="1" x14ac:dyDescent="0.3">
      <c r="A30" s="8" t="s">
        <v>19</v>
      </c>
      <c r="B30" s="8" t="s">
        <v>281</v>
      </c>
      <c r="C30" s="8" t="s">
        <v>278</v>
      </c>
      <c r="D30" s="8" t="s">
        <v>275</v>
      </c>
      <c r="E30" s="8" t="s">
        <v>276</v>
      </c>
    </row>
    <row r="31" spans="1:5" ht="18" customHeight="1" x14ac:dyDescent="0.3">
      <c r="A31" s="8" t="s">
        <v>292</v>
      </c>
      <c r="B31" s="8" t="s">
        <v>283</v>
      </c>
      <c r="C31" s="8" t="s">
        <v>278</v>
      </c>
      <c r="D31" s="8" t="s">
        <v>255</v>
      </c>
      <c r="E31" s="8" t="s">
        <v>256</v>
      </c>
    </row>
    <row r="32" spans="1:5" ht="18" customHeight="1" x14ac:dyDescent="0.3">
      <c r="A32" s="8" t="s">
        <v>179</v>
      </c>
      <c r="B32" s="8" t="s">
        <v>293</v>
      </c>
      <c r="C32" s="8" t="s">
        <v>250</v>
      </c>
      <c r="D32" s="8" t="s">
        <v>255</v>
      </c>
      <c r="E32" s="8" t="s">
        <v>256</v>
      </c>
    </row>
    <row r="33" spans="1:5" ht="18" customHeight="1" x14ac:dyDescent="0.3">
      <c r="A33" s="8" t="s">
        <v>104</v>
      </c>
      <c r="B33" s="8" t="s">
        <v>294</v>
      </c>
      <c r="C33" s="8" t="s">
        <v>250</v>
      </c>
      <c r="D33" s="8" t="s">
        <v>258</v>
      </c>
      <c r="E33" s="8" t="s">
        <v>259</v>
      </c>
    </row>
    <row r="34" spans="1:5" ht="18" customHeight="1" x14ac:dyDescent="0.3">
      <c r="A34" s="8" t="s">
        <v>62</v>
      </c>
      <c r="B34" s="8" t="s">
        <v>295</v>
      </c>
      <c r="C34" s="8" t="s">
        <v>250</v>
      </c>
      <c r="D34" s="8" t="s">
        <v>279</v>
      </c>
      <c r="E34" s="8" t="s">
        <v>280</v>
      </c>
    </row>
    <row r="35" spans="1:5" ht="18" customHeight="1" x14ac:dyDescent="0.3">
      <c r="A35" s="8" t="s">
        <v>189</v>
      </c>
      <c r="B35" s="8" t="s">
        <v>296</v>
      </c>
      <c r="C35" s="8" t="s">
        <v>278</v>
      </c>
      <c r="D35" s="8" t="s">
        <v>279</v>
      </c>
      <c r="E35" s="8" t="s">
        <v>280</v>
      </c>
    </row>
    <row r="36" spans="1:5" ht="18" customHeight="1" x14ac:dyDescent="0.3">
      <c r="A36" s="8" t="s">
        <v>142</v>
      </c>
      <c r="B36" s="8" t="s">
        <v>297</v>
      </c>
      <c r="C36" s="8" t="s">
        <v>250</v>
      </c>
      <c r="D36" s="8" t="s">
        <v>275</v>
      </c>
      <c r="E36" s="8" t="s">
        <v>276</v>
      </c>
    </row>
    <row r="37" spans="1:5" ht="18" customHeight="1" x14ac:dyDescent="0.3">
      <c r="A37" s="8" t="s">
        <v>182</v>
      </c>
      <c r="B37" s="8" t="s">
        <v>257</v>
      </c>
      <c r="C37" s="8" t="s">
        <v>250</v>
      </c>
      <c r="D37" s="8" t="s">
        <v>266</v>
      </c>
      <c r="E37" s="8" t="s">
        <v>267</v>
      </c>
    </row>
    <row r="38" spans="1:5" ht="18" customHeight="1" x14ac:dyDescent="0.3">
      <c r="A38" s="8" t="s">
        <v>99</v>
      </c>
      <c r="B38" s="8" t="s">
        <v>253</v>
      </c>
      <c r="C38" s="8" t="s">
        <v>278</v>
      </c>
      <c r="D38" s="8" t="s">
        <v>275</v>
      </c>
      <c r="E38" s="8" t="s">
        <v>276</v>
      </c>
    </row>
    <row r="39" spans="1:5" ht="18" customHeight="1" x14ac:dyDescent="0.3">
      <c r="A39" s="8" t="s">
        <v>298</v>
      </c>
      <c r="B39" s="8" t="s">
        <v>299</v>
      </c>
      <c r="C39" s="8" t="s">
        <v>250</v>
      </c>
      <c r="D39" s="8" t="s">
        <v>258</v>
      </c>
      <c r="E39" s="8" t="s">
        <v>259</v>
      </c>
    </row>
    <row r="40" spans="1:5" ht="18" customHeight="1" x14ac:dyDescent="0.3">
      <c r="A40" s="8" t="s">
        <v>123</v>
      </c>
      <c r="B40" s="8" t="s">
        <v>300</v>
      </c>
      <c r="C40" s="8" t="s">
        <v>278</v>
      </c>
      <c r="D40" s="8" t="s">
        <v>258</v>
      </c>
      <c r="E40" s="8" t="s">
        <v>259</v>
      </c>
    </row>
    <row r="41" spans="1:5" ht="18" customHeight="1" x14ac:dyDescent="0.3">
      <c r="A41" s="8" t="s">
        <v>85</v>
      </c>
      <c r="B41" s="8" t="s">
        <v>301</v>
      </c>
      <c r="C41" s="8" t="s">
        <v>254</v>
      </c>
      <c r="D41" s="8" t="s">
        <v>258</v>
      </c>
      <c r="E41" s="8" t="s">
        <v>259</v>
      </c>
    </row>
    <row r="42" spans="1:5" ht="18" customHeight="1" x14ac:dyDescent="0.3">
      <c r="A42" s="8" t="s">
        <v>74</v>
      </c>
      <c r="B42" s="8" t="s">
        <v>302</v>
      </c>
      <c r="C42" s="8" t="s">
        <v>250</v>
      </c>
      <c r="D42" s="8" t="s">
        <v>258</v>
      </c>
      <c r="E42" s="8" t="s">
        <v>259</v>
      </c>
    </row>
    <row r="43" spans="1:5" ht="18" customHeight="1" x14ac:dyDescent="0.3">
      <c r="A43" s="8" t="s">
        <v>39</v>
      </c>
      <c r="B43" s="8" t="s">
        <v>260</v>
      </c>
      <c r="C43" s="8" t="s">
        <v>254</v>
      </c>
      <c r="D43" s="8" t="s">
        <v>258</v>
      </c>
      <c r="E43" s="8" t="s">
        <v>259</v>
      </c>
    </row>
    <row r="44" spans="1:5" ht="18" customHeight="1" x14ac:dyDescent="0.3">
      <c r="A44" s="8" t="s">
        <v>174</v>
      </c>
      <c r="B44" s="8" t="s">
        <v>303</v>
      </c>
      <c r="C44" s="8" t="s">
        <v>278</v>
      </c>
      <c r="D44" s="8" t="s">
        <v>255</v>
      </c>
      <c r="E44" s="8" t="s">
        <v>256</v>
      </c>
    </row>
    <row r="45" spans="1:5" ht="18" customHeight="1" x14ac:dyDescent="0.3">
      <c r="A45" s="8" t="s">
        <v>28</v>
      </c>
      <c r="B45" s="8" t="s">
        <v>304</v>
      </c>
      <c r="C45" s="8" t="s">
        <v>250</v>
      </c>
      <c r="D45" s="8" t="s">
        <v>279</v>
      </c>
      <c r="E45" s="8" t="s">
        <v>280</v>
      </c>
    </row>
    <row r="46" spans="1:5" ht="18" customHeight="1" x14ac:dyDescent="0.3">
      <c r="A46" s="8" t="s">
        <v>56</v>
      </c>
      <c r="B46" s="8" t="s">
        <v>253</v>
      </c>
      <c r="C46" s="8" t="s">
        <v>278</v>
      </c>
      <c r="D46" s="8" t="s">
        <v>258</v>
      </c>
      <c r="E46" s="8" t="s">
        <v>259</v>
      </c>
    </row>
    <row r="47" spans="1:5" ht="18" customHeight="1" x14ac:dyDescent="0.3">
      <c r="A47" s="8" t="s">
        <v>53</v>
      </c>
      <c r="B47" s="8" t="s">
        <v>253</v>
      </c>
      <c r="C47" s="8" t="s">
        <v>254</v>
      </c>
      <c r="D47" s="8" t="s">
        <v>266</v>
      </c>
      <c r="E47" s="8" t="s">
        <v>267</v>
      </c>
    </row>
    <row r="48" spans="1:5" ht="18" customHeight="1" x14ac:dyDescent="0.3">
      <c r="A48" s="8" t="s">
        <v>67</v>
      </c>
      <c r="B48" s="8" t="s">
        <v>289</v>
      </c>
      <c r="C48" s="8" t="s">
        <v>278</v>
      </c>
      <c r="D48" s="8" t="s">
        <v>266</v>
      </c>
      <c r="E48" s="8" t="s">
        <v>267</v>
      </c>
    </row>
    <row r="49" spans="1:5" ht="18" customHeight="1" x14ac:dyDescent="0.3">
      <c r="A49" s="8" t="s">
        <v>148</v>
      </c>
      <c r="B49" s="8" t="s">
        <v>260</v>
      </c>
      <c r="C49" s="8" t="s">
        <v>250</v>
      </c>
      <c r="D49" s="8" t="s">
        <v>266</v>
      </c>
      <c r="E49" s="8" t="s">
        <v>267</v>
      </c>
    </row>
    <row r="50" spans="1:5" ht="18" customHeight="1" x14ac:dyDescent="0.3">
      <c r="A50" s="8" t="s">
        <v>305</v>
      </c>
      <c r="B50" s="8" t="s">
        <v>306</v>
      </c>
      <c r="C50" s="8" t="s">
        <v>250</v>
      </c>
      <c r="D50" s="8" t="s">
        <v>266</v>
      </c>
      <c r="E50" s="8" t="s">
        <v>267</v>
      </c>
    </row>
    <row r="51" spans="1:5" ht="14.25" customHeight="1" x14ac:dyDescent="0.3"/>
    <row r="52" spans="1:5" ht="14.25" customHeight="1" x14ac:dyDescent="0.3"/>
    <row r="53" spans="1:5" ht="14.25" customHeight="1" x14ac:dyDescent="0.3"/>
    <row r="54" spans="1:5" ht="14.25" customHeight="1" x14ac:dyDescent="0.3"/>
    <row r="55" spans="1:5" ht="14.25" customHeight="1" x14ac:dyDescent="0.3"/>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0F6B14-B865-4199-BE69-7A4C5392DA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Dahboard</vt:lpstr>
      <vt:lpstr>Sheet1</vt:lpstr>
      <vt:lpstr>Pivot table</vt:lpstr>
      <vt:lpstr>AmazonSales</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gagan bawankule</cp:lastModifiedBy>
  <cp:lastPrinted>2026-02-21T10:40:01Z</cp:lastPrinted>
  <dcterms:created xsi:type="dcterms:W3CDTF">2025-07-17T15:44:57Z</dcterms:created>
  <dcterms:modified xsi:type="dcterms:W3CDTF">2026-02-21T10:44:06Z</dcterms:modified>
</cp:coreProperties>
</file>